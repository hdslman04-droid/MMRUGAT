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bat\Desktop\"/>
    </mc:Choice>
  </mc:AlternateContent>
  <xr:revisionPtr revIDLastSave="0" documentId="13_ncr:1_{81CB240C-F483-4366-AB6A-A70DCD99849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Keseluruhan" sheetId="11" state="hidden" r:id="rId1"/>
    <sheet name="Hadir (2)" sheetId="30" state="hidden" r:id="rId2"/>
    <sheet name="List Kehadiran" sheetId="31" r:id="rId3"/>
    <sheet name="Hadir" sheetId="27" state="hidden" r:id="rId4"/>
    <sheet name="Tidak Hadir" sheetId="28" state="hidden" r:id="rId5"/>
  </sheets>
  <definedNames>
    <definedName name="_xlnm._FilterDatabase" localSheetId="0" hidden="1">Keseluruhan!$F$5:$G$242</definedName>
    <definedName name="_xlnm.Print_Area" localSheetId="0">Keseluruhan!$A$1:$K$10</definedName>
    <definedName name="_xlnm.Print_Titles" localSheetId="0">Keseluruhan!$3:$6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1" l="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A201" i="31"/>
  <c r="A202" i="31"/>
  <c r="A203" i="31"/>
  <c r="A204" i="31"/>
  <c r="A205" i="31"/>
  <c r="A206" i="31"/>
  <c r="A207" i="31"/>
  <c r="A208" i="31"/>
  <c r="A209" i="31"/>
  <c r="A210" i="31"/>
  <c r="A211" i="31"/>
  <c r="A212" i="31"/>
  <c r="A213" i="31"/>
  <c r="A214" i="31"/>
  <c r="A215" i="31"/>
  <c r="A216" i="31"/>
  <c r="A217" i="31"/>
  <c r="A218" i="31"/>
  <c r="A219" i="31"/>
  <c r="A220" i="31"/>
  <c r="A221" i="31"/>
  <c r="A222" i="31"/>
  <c r="A223" i="31"/>
  <c r="A224" i="31"/>
  <c r="A225" i="31"/>
  <c r="A226" i="31"/>
  <c r="A227" i="31"/>
  <c r="A228" i="31"/>
  <c r="A229" i="31"/>
  <c r="A230" i="31"/>
  <c r="A231" i="31"/>
  <c r="A232" i="31"/>
  <c r="A233" i="31"/>
  <c r="A234" i="31"/>
  <c r="A235" i="31"/>
  <c r="A236" i="31"/>
  <c r="A237" i="31"/>
  <c r="A238" i="31"/>
  <c r="A239" i="31"/>
  <c r="A240" i="31"/>
  <c r="A241" i="31"/>
  <c r="A242" i="31"/>
  <c r="A243" i="31"/>
  <c r="A244" i="31"/>
  <c r="A245" i="31"/>
  <c r="A246" i="31"/>
  <c r="A247" i="31"/>
  <c r="A248" i="31"/>
  <c r="A249" i="31"/>
  <c r="A250" i="31"/>
  <c r="A251" i="31"/>
  <c r="A252" i="31"/>
  <c r="A253" i="31"/>
  <c r="A254" i="31"/>
  <c r="A255" i="31"/>
  <c r="A256" i="31"/>
  <c r="A3" i="31"/>
  <c r="R8" i="30"/>
  <c r="R9" i="30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0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7" i="30"/>
  <c r="J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109" i="30"/>
  <c r="I110" i="30"/>
  <c r="I111" i="30"/>
  <c r="I112" i="30"/>
  <c r="I113" i="30"/>
  <c r="I114" i="30"/>
  <c r="I115" i="30"/>
  <c r="I116" i="30"/>
  <c r="I117" i="30"/>
  <c r="I118" i="30"/>
  <c r="I119" i="30"/>
  <c r="I120" i="30"/>
  <c r="I121" i="30"/>
  <c r="I122" i="30"/>
  <c r="I123" i="30"/>
  <c r="I124" i="30"/>
  <c r="I125" i="30"/>
  <c r="I126" i="30"/>
  <c r="I127" i="30"/>
  <c r="I128" i="30"/>
  <c r="I129" i="30"/>
  <c r="I130" i="30"/>
  <c r="I131" i="30"/>
  <c r="I132" i="30"/>
  <c r="I133" i="30"/>
  <c r="I134" i="30"/>
  <c r="I135" i="30"/>
  <c r="I136" i="30"/>
  <c r="I137" i="30"/>
  <c r="I138" i="30"/>
  <c r="I139" i="30"/>
  <c r="I140" i="30"/>
  <c r="I141" i="30"/>
  <c r="I142" i="30"/>
  <c r="I143" i="30"/>
  <c r="I144" i="30"/>
  <c r="I145" i="30"/>
  <c r="I146" i="30"/>
  <c r="I147" i="30"/>
  <c r="I148" i="30"/>
  <c r="I149" i="30"/>
  <c r="I150" i="30"/>
  <c r="I151" i="30"/>
  <c r="I152" i="30"/>
  <c r="I153" i="30"/>
  <c r="I154" i="30"/>
  <c r="I155" i="30"/>
  <c r="I156" i="30"/>
  <c r="I157" i="30"/>
  <c r="I158" i="30"/>
  <c r="I159" i="30"/>
  <c r="I160" i="30"/>
  <c r="I161" i="30"/>
  <c r="I162" i="30"/>
  <c r="I163" i="30"/>
  <c r="I164" i="30"/>
  <c r="I165" i="30"/>
  <c r="I166" i="30"/>
  <c r="I167" i="30"/>
  <c r="I168" i="30"/>
  <c r="I169" i="30"/>
  <c r="I170" i="30"/>
  <c r="I171" i="30"/>
  <c r="I172" i="30"/>
  <c r="I173" i="30"/>
  <c r="I174" i="30"/>
  <c r="I175" i="30"/>
  <c r="I176" i="30"/>
  <c r="I177" i="30"/>
  <c r="I178" i="30"/>
  <c r="I179" i="30"/>
  <c r="I180" i="30"/>
  <c r="I181" i="30"/>
  <c r="I182" i="30"/>
  <c r="I183" i="30"/>
  <c r="I184" i="30"/>
  <c r="I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7" i="30"/>
  <c r="P183" i="30"/>
  <c r="G183" i="30"/>
  <c r="O183" i="30"/>
  <c r="F183" i="30"/>
  <c r="N184" i="30" a="1"/>
  <c r="N184" i="30" s="1"/>
  <c r="N183" i="30"/>
  <c r="E184" i="30" a="1"/>
  <c r="E184" i="30" s="1"/>
  <c r="E183" i="30"/>
  <c r="Q9" i="30"/>
  <c r="Q10" i="30"/>
  <c r="Q8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35" i="30"/>
  <c r="Q36" i="30"/>
  <c r="Q37" i="30"/>
  <c r="Q38" i="30"/>
  <c r="Q39" i="30"/>
  <c r="Q40" i="30"/>
  <c r="Q41" i="30"/>
  <c r="Q42" i="30"/>
  <c r="Q43" i="30"/>
  <c r="Q44" i="30"/>
  <c r="Q45" i="30"/>
  <c r="Q46" i="30"/>
  <c r="Q47" i="30"/>
  <c r="Q48" i="30"/>
  <c r="Q49" i="30"/>
  <c r="Q50" i="30"/>
  <c r="Q51" i="30"/>
  <c r="Q52" i="30"/>
  <c r="Q53" i="30"/>
  <c r="Q54" i="30"/>
  <c r="Q55" i="30"/>
  <c r="Q56" i="30"/>
  <c r="Q57" i="30"/>
  <c r="Q58" i="30"/>
  <c r="Q59" i="30"/>
  <c r="Q60" i="30"/>
  <c r="Q61" i="30"/>
  <c r="Q62" i="30"/>
  <c r="Q63" i="30"/>
  <c r="Q64" i="30"/>
  <c r="Q65" i="30"/>
  <c r="Q66" i="30"/>
  <c r="Q67" i="30"/>
  <c r="Q68" i="30"/>
  <c r="Q69" i="30"/>
  <c r="Q70" i="30"/>
  <c r="Q71" i="30"/>
  <c r="Q72" i="30"/>
  <c r="Q73" i="30"/>
  <c r="Q74" i="30"/>
  <c r="Q75" i="30"/>
  <c r="Q76" i="30"/>
  <c r="Q77" i="30"/>
  <c r="Q78" i="30"/>
  <c r="Q79" i="30"/>
  <c r="Q80" i="30"/>
  <c r="Q81" i="30"/>
  <c r="Q82" i="30"/>
  <c r="Q83" i="30"/>
  <c r="Q84" i="30"/>
  <c r="Q85" i="30"/>
  <c r="Q86" i="30"/>
  <c r="Q87" i="30"/>
  <c r="Q88" i="30"/>
  <c r="Q89" i="30"/>
  <c r="Q90" i="30"/>
  <c r="Q91" i="30"/>
  <c r="Q92" i="30"/>
  <c r="Q93" i="30"/>
  <c r="Q94" i="30"/>
  <c r="Q95" i="30"/>
  <c r="Q96" i="30"/>
  <c r="Q97" i="30"/>
  <c r="Q98" i="30"/>
  <c r="Q99" i="30"/>
  <c r="Q100" i="30"/>
  <c r="Q101" i="30"/>
  <c r="Q102" i="30"/>
  <c r="Q103" i="30"/>
  <c r="Q104" i="30"/>
  <c r="Q105" i="30"/>
  <c r="Q106" i="30"/>
  <c r="Q107" i="30"/>
  <c r="Q108" i="30"/>
  <c r="Q109" i="30"/>
  <c r="Q110" i="30"/>
  <c r="Q111" i="30"/>
  <c r="Q112" i="30"/>
  <c r="Q113" i="30"/>
  <c r="Q114" i="30"/>
  <c r="Q115" i="30"/>
  <c r="Q116" i="30"/>
  <c r="Q117" i="30"/>
  <c r="Q118" i="30"/>
  <c r="Q119" i="30"/>
  <c r="Q120" i="30"/>
  <c r="Q121" i="30"/>
  <c r="Q122" i="30"/>
  <c r="Q123" i="30"/>
  <c r="Q124" i="30"/>
  <c r="Q125" i="30"/>
  <c r="Q126" i="30"/>
  <c r="Q127" i="30"/>
  <c r="Q128" i="30"/>
  <c r="Q129" i="30"/>
  <c r="Q130" i="30"/>
  <c r="Q131" i="30"/>
  <c r="Q132" i="30"/>
  <c r="Q133" i="30"/>
  <c r="Q134" i="30"/>
  <c r="Q135" i="30"/>
  <c r="Q136" i="30"/>
  <c r="Q137" i="30"/>
  <c r="Q138" i="30"/>
  <c r="Q139" i="30"/>
  <c r="Q140" i="30"/>
  <c r="Q141" i="30"/>
  <c r="Q142" i="30"/>
  <c r="Q143" i="30"/>
  <c r="Q144" i="30"/>
  <c r="Q145" i="30"/>
  <c r="Q146" i="30"/>
  <c r="Q147" i="30"/>
  <c r="Q148" i="30"/>
  <c r="Q149" i="30"/>
  <c r="Q150" i="30"/>
  <c r="Q151" i="30"/>
  <c r="Q152" i="30"/>
  <c r="Q153" i="30"/>
  <c r="Q154" i="30"/>
  <c r="Q155" i="30"/>
  <c r="Q156" i="30"/>
  <c r="Q157" i="30"/>
  <c r="Q158" i="30"/>
  <c r="Q159" i="30"/>
  <c r="Q160" i="30"/>
  <c r="Q161" i="30"/>
  <c r="Q162" i="30"/>
  <c r="Q163" i="30"/>
  <c r="Q164" i="30"/>
  <c r="Q165" i="30"/>
  <c r="Q166" i="30"/>
  <c r="Q167" i="30"/>
  <c r="Q168" i="30"/>
  <c r="Q169" i="30"/>
  <c r="Q170" i="30"/>
  <c r="Q171" i="30"/>
  <c r="Q172" i="30"/>
  <c r="Q173" i="30"/>
  <c r="Q174" i="30"/>
  <c r="Q175" i="30"/>
  <c r="Q176" i="30"/>
  <c r="Q177" i="30"/>
  <c r="Q178" i="30"/>
  <c r="Q179" i="30"/>
  <c r="Q180" i="30"/>
  <c r="Q181" i="30"/>
  <c r="Q182" i="30"/>
  <c r="Q183" i="30"/>
  <c r="Q184" i="30"/>
  <c r="Q11" i="30"/>
  <c r="Q7" i="30"/>
  <c r="O75" i="28"/>
  <c r="L75" i="28"/>
  <c r="V74" i="28"/>
  <c r="U74" i="28"/>
  <c r="U75" i="28" s="1"/>
  <c r="T74" i="28"/>
  <c r="S74" i="28"/>
  <c r="S75" i="28" s="1"/>
  <c r="Q74" i="28"/>
  <c r="P74" i="28"/>
  <c r="O74" i="28"/>
  <c r="M74" i="28"/>
  <c r="L74" i="28"/>
  <c r="K74" i="28"/>
  <c r="J74" i="28"/>
  <c r="I74" i="28"/>
  <c r="I75" i="28" s="1"/>
  <c r="H74" i="28"/>
  <c r="G74" i="28"/>
  <c r="G75" i="28" s="1"/>
  <c r="V183" i="27"/>
  <c r="U183" i="27"/>
  <c r="T183" i="27"/>
  <c r="S183" i="27"/>
  <c r="S184" i="27" s="1"/>
  <c r="Q183" i="27"/>
  <c r="P183" i="27"/>
  <c r="O183" i="27"/>
  <c r="O184" i="27" s="1"/>
  <c r="M183" i="27"/>
  <c r="L183" i="27"/>
  <c r="K183" i="27"/>
  <c r="J183" i="27"/>
  <c r="I183" i="27"/>
  <c r="I184" i="27" s="1"/>
  <c r="H183" i="27"/>
  <c r="G183" i="27"/>
  <c r="G184" i="27" s="1"/>
  <c r="L184" i="27" l="1"/>
  <c r="U184" i="27"/>
  <c r="K10" i="11"/>
  <c r="J10" i="11"/>
  <c r="I9" i="11"/>
  <c r="I8" i="11"/>
  <c r="I7" i="11"/>
  <c r="H10" i="11"/>
  <c r="G10" i="11"/>
  <c r="F10" i="11"/>
  <c r="E10" i="11"/>
  <c r="D10" i="11"/>
  <c r="C10" i="11"/>
  <c r="D9" i="11"/>
  <c r="I10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<sst xmlns="http://schemas.openxmlformats.org/spreadsheetml/2006/main" count="3035" uniqueCount="1235">
  <si>
    <t>MK PMBTD</t>
  </si>
  <si>
    <t>PEG GAJI</t>
  </si>
  <si>
    <t>BPA - UGAT</t>
  </si>
  <si>
    <t>LT M</t>
  </si>
  <si>
    <t xml:space="preserve">PEG GAJI </t>
  </si>
  <si>
    <t>REJ 503 AW</t>
  </si>
  <si>
    <t>19 RAMD (MEK)</t>
  </si>
  <si>
    <t>MSS SG BULOH</t>
  </si>
  <si>
    <t xml:space="preserve">AMY NUR SYAZHIDA BINTI JAMIRAN </t>
  </si>
  <si>
    <t>3 RS</t>
  </si>
  <si>
    <t>NUR BADRISHA BINTI MOHD SAMSUDIN</t>
  </si>
  <si>
    <t>MK 10 BGD (PARA)</t>
  </si>
  <si>
    <t>8 RRD (PARA)</t>
  </si>
  <si>
    <t>NURUL FAZILLAH BINTI JUSEEF</t>
  </si>
  <si>
    <t>PUSWATAN</t>
  </si>
  <si>
    <t>FAUZIAH BINTI ALI AHMAD</t>
  </si>
  <si>
    <t>PULADA</t>
  </si>
  <si>
    <t>NOR SHAFARA BINTI WASLI</t>
  </si>
  <si>
    <t>1 RS</t>
  </si>
  <si>
    <t xml:space="preserve">INTAN NURASMIDA BINTI MOHD KHAIRI </t>
  </si>
  <si>
    <t>MK PMTTD</t>
  </si>
  <si>
    <t>KEM 1 DIV</t>
  </si>
  <si>
    <t>ATIQAH BINTI MOHD HIDIR</t>
  </si>
  <si>
    <t>MTU</t>
  </si>
  <si>
    <t xml:space="preserve">LT </t>
  </si>
  <si>
    <t>LT</t>
  </si>
  <si>
    <t xml:space="preserve">13 RAMD </t>
  </si>
  <si>
    <t xml:space="preserve">MUHAMAD ZAIMAN BIN SHAARY </t>
  </si>
  <si>
    <t xml:space="preserve">1 RAMD </t>
  </si>
  <si>
    <t>KHAIRIL HISHAM BIN AZHAR</t>
  </si>
  <si>
    <t>7 RAMD</t>
  </si>
  <si>
    <t xml:space="preserve">ANISYA NATASYA BINTI KAMARUDDIN                                    </t>
  </si>
  <si>
    <t>PEGAWAI AKAUN</t>
  </si>
  <si>
    <t>MK TD - BKTD</t>
  </si>
  <si>
    <t xml:space="preserve">NURUL ATIKAH BINTI JAMALLUDDIN </t>
  </si>
  <si>
    <t>6 RRD</t>
  </si>
  <si>
    <t>NANTHINI A/P GUNASUNDRAN</t>
  </si>
  <si>
    <t>20 RAMD</t>
  </si>
  <si>
    <t>MUHAMMAD AMIR FAKRI BIN IBRAHIM</t>
  </si>
  <si>
    <t>REJ 507 AW</t>
  </si>
  <si>
    <t>TUDM BUTTERWORTH</t>
  </si>
  <si>
    <t xml:space="preserve">MEOR ZULHISYAM BIN MEOR AHMAD ZUBAIRI </t>
  </si>
  <si>
    <t>3 RRD</t>
  </si>
  <si>
    <t xml:space="preserve">NOOR SAFIKA BINTI SHAWAL </t>
  </si>
  <si>
    <t>5 RAMD</t>
  </si>
  <si>
    <t>14 RAMD</t>
  </si>
  <si>
    <t>AIN AMIRA BINTI AZMI</t>
  </si>
  <si>
    <t>3 RAMD</t>
  </si>
  <si>
    <t>NUR ZAFIRAH BINTI HAMDAN</t>
  </si>
  <si>
    <t>REJ 505 AW</t>
  </si>
  <si>
    <t>NUR AIN ASYIKIN BINTI KHAIRUNNAIM</t>
  </si>
  <si>
    <t>REJ 512 AW</t>
  </si>
  <si>
    <t>NORHITA BTE MOHD BHOHARI</t>
  </si>
  <si>
    <t>WAN AHMAD UZAIR BIN WAN KAMARUZAMAN</t>
  </si>
  <si>
    <t>REJ 509 AW</t>
  </si>
  <si>
    <t>NURUL HIDAYAH BINTI MAT RASHID</t>
  </si>
  <si>
    <t>TUDM GONG KEDAK</t>
  </si>
  <si>
    <t>NUR HATIKA ANIS BINTI JAMIL</t>
  </si>
  <si>
    <t xml:space="preserve">16 RAMD </t>
  </si>
  <si>
    <t xml:space="preserve">NUR FATIN FARHAH BINTI ABD WAHAB </t>
  </si>
  <si>
    <t>PS 3 BELANJAWAN</t>
  </si>
  <si>
    <t>MATIN SAFARIN BHATIA BIN MOHAMAD SHAIFUL</t>
  </si>
  <si>
    <t>MK 21 GGK</t>
  </si>
  <si>
    <t>22 KDO</t>
  </si>
  <si>
    <t>ABU HATIM BIN ADNAN</t>
  </si>
  <si>
    <t>REJ 504 AW</t>
  </si>
  <si>
    <t>9 RRD</t>
  </si>
  <si>
    <t>NUHA NABIHAH BINTI AZAHARI</t>
  </si>
  <si>
    <t>24 RAMD</t>
  </si>
  <si>
    <t>NADIRAH BINTI ABDUL HADI</t>
  </si>
  <si>
    <t>PEMEGANG AKAUN</t>
  </si>
  <si>
    <t>WISMA PERWIRA TD</t>
  </si>
  <si>
    <t>MK 5 BGD</t>
  </si>
  <si>
    <t>NURUL SYIFA BINTI OTHMAN</t>
  </si>
  <si>
    <t>KAPT</t>
  </si>
  <si>
    <t>7 RRD (MEK)</t>
  </si>
  <si>
    <t>JENNY LUYAH ANAK SIEW</t>
  </si>
  <si>
    <t>NOOR AMIRAH BT AHMAD DAUD</t>
  </si>
  <si>
    <t>11 RAMD</t>
  </si>
  <si>
    <t>NURUL HIDAYAH BINTI MUHAMAD FADZLI</t>
  </si>
  <si>
    <t>REJ 511 AW</t>
  </si>
  <si>
    <t>IKED</t>
  </si>
  <si>
    <t>MUHAMMAD HAFIZUDDIN BIN ABDUL RAZAK</t>
  </si>
  <si>
    <t>IJED</t>
  </si>
  <si>
    <t>NORSYAIZA BINTI NOOR MOHD ALI</t>
  </si>
  <si>
    <t>MK 1 DIV</t>
  </si>
  <si>
    <t>FATIN FARISYA BINTI SOBRI</t>
  </si>
  <si>
    <t>REJ 506 AW</t>
  </si>
  <si>
    <t xml:space="preserve">ANUAR SHAH BIN JAINAL </t>
  </si>
  <si>
    <t>MK 5 DIV</t>
  </si>
  <si>
    <t>WILFRED BIN SEMUIL</t>
  </si>
  <si>
    <t>MK 3 BGD</t>
  </si>
  <si>
    <t>NUR SYAFIZUANA AMIRA BINTI ZULKHIBRI</t>
  </si>
  <si>
    <t>NURUL FARAHIN BINTI ZAHARUDDIN</t>
  </si>
  <si>
    <t>MK 7 BGD</t>
  </si>
  <si>
    <t>NUR SHARMIZA BINTI NAZURI</t>
  </si>
  <si>
    <t>91 RAJD</t>
  </si>
  <si>
    <t>NOR SHAHIDA BINTI SHAHIDAN</t>
  </si>
  <si>
    <t xml:space="preserve">MK 8 BGD </t>
  </si>
  <si>
    <t>MOHAMMAD TAUFIK BIN KATIMAN</t>
  </si>
  <si>
    <t xml:space="preserve">MUHAMAD SHAMIR BIN MOHD SALIM </t>
  </si>
  <si>
    <t>MK 4 BGD (MEK)</t>
  </si>
  <si>
    <t>KOSHILA A/P APPLANNAIDOO</t>
  </si>
  <si>
    <t>6 RAD</t>
  </si>
  <si>
    <t>FATIN ADDILA BINTI BASHIRUN</t>
  </si>
  <si>
    <t>PULPAK</t>
  </si>
  <si>
    <t>NURUL AFIQAH BINTI KAMARUDIN</t>
  </si>
  <si>
    <t>PEN JURUTERBANG TP UDARA A</t>
  </si>
  <si>
    <t>MUHAMMAD FARRIS SYAZA BIN ZAMRI</t>
  </si>
  <si>
    <t>ATU IPOH</t>
  </si>
  <si>
    <t xml:space="preserve">NOORHAZITA BINTI NAZI </t>
  </si>
  <si>
    <t>MK 2 DIV</t>
  </si>
  <si>
    <t>SITI AMYRA BINTI MD ZIBY</t>
  </si>
  <si>
    <t>23 RAMD</t>
  </si>
  <si>
    <t>NORAZLIZA BINTI MOHAMAD ROZALLI</t>
  </si>
  <si>
    <t>MK 6 BGD</t>
  </si>
  <si>
    <t>NABILAH BINTI ABDULLAH</t>
  </si>
  <si>
    <t>PU LABUAN</t>
  </si>
  <si>
    <t>SITI HALIDA BINTI KAMARUZAMAN</t>
  </si>
  <si>
    <t>BPA - CSA</t>
  </si>
  <si>
    <t>SUNAINI BINTI MOHD ALI</t>
  </si>
  <si>
    <t xml:space="preserve">HASRULLIZA BTE ABD HALIM </t>
  </si>
  <si>
    <t>ALIZA BTE HJ ABD RAHMAN</t>
  </si>
  <si>
    <t>PEGAWAI GAJI</t>
  </si>
  <si>
    <t>ATD</t>
  </si>
  <si>
    <t>NOORKHALEEDA BINTI ABDUL HADI</t>
  </si>
  <si>
    <t>REJ 513 AW</t>
  </si>
  <si>
    <t xml:space="preserve">SHAMSUL BAHRI BIN RAMLI </t>
  </si>
  <si>
    <t>PS 3 AKAUN</t>
  </si>
  <si>
    <t xml:space="preserve">MOHD FAREEZ BIN SHAFIE </t>
  </si>
  <si>
    <t>JURULATIH</t>
  </si>
  <si>
    <t>ATD - KOLEJ PTT</t>
  </si>
  <si>
    <t xml:space="preserve">MOHAMAD SHAFIQ BIN RAMZAN </t>
  </si>
  <si>
    <t>NUR AMERUL BIN ALIAS</t>
  </si>
  <si>
    <t xml:space="preserve">ABDUL HAKIM BIN BUANG </t>
  </si>
  <si>
    <t>MK 2 BGD</t>
  </si>
  <si>
    <t>NOR AYUNI BINTI BAHARON</t>
  </si>
  <si>
    <t>REJ 502 AW</t>
  </si>
  <si>
    <t>MUHAMMAD SYAZWAN BIN SAZALI</t>
  </si>
  <si>
    <t>91 RSD</t>
  </si>
  <si>
    <t xml:space="preserve">MOHAMAD A'RIF BIN MOHAMED NOR </t>
  </si>
  <si>
    <t xml:space="preserve">KAPT </t>
  </si>
  <si>
    <t>MK 9 BGD</t>
  </si>
  <si>
    <t>HANAN BINTI BAHAROM</t>
  </si>
  <si>
    <t>PUSASDA</t>
  </si>
  <si>
    <t>AZRUL ANWAR BIN SHAMSUL AMBIA</t>
  </si>
  <si>
    <t xml:space="preserve">MK 1 BGD </t>
  </si>
  <si>
    <t xml:space="preserve">NURUL NADIA BINTI MOHD HALIM </t>
  </si>
  <si>
    <t xml:space="preserve">ZUNAIRAH BTE ISMAIL </t>
  </si>
  <si>
    <t xml:space="preserve">PS 3 KEWANGAN </t>
  </si>
  <si>
    <t>MUHAMMAD HATIMTAI BIN BAHARUDIN</t>
  </si>
  <si>
    <t>MOHD AZMIL BIN BASIR</t>
  </si>
  <si>
    <t xml:space="preserve">AMIR HASRUL BIN HASIM </t>
  </si>
  <si>
    <t>REJ 501 AW</t>
  </si>
  <si>
    <t>NUR DIYANA BTE CHE OMAR</t>
  </si>
  <si>
    <t>MK 11 BGD</t>
  </si>
  <si>
    <t>NURSHUHADA BTE MOHTAR</t>
  </si>
  <si>
    <t>REJ 514 AW</t>
  </si>
  <si>
    <t>MK GAR TERENDAK</t>
  </si>
  <si>
    <t>SELIA ANAK LISA</t>
  </si>
  <si>
    <t>MK 4 DIV</t>
  </si>
  <si>
    <t>NOOR ERMA SUZIANA BTE ABD MALIK</t>
  </si>
  <si>
    <t>REJ 508 AW</t>
  </si>
  <si>
    <t>MARIAM BINTI NAAM</t>
  </si>
  <si>
    <t>UPNM</t>
  </si>
  <si>
    <t>MALINA BTE MOHAMAD ROSBI</t>
  </si>
  <si>
    <t>MOHD IRWANDY BIN ABDUL RAHIM</t>
  </si>
  <si>
    <t>PS 2 BELANJAWAN</t>
  </si>
  <si>
    <t>NURRUL ASYIKIN BINTI ZAINAL</t>
  </si>
  <si>
    <t>PS 2 GAJI/ BELANJAWAN</t>
  </si>
  <si>
    <t>MEJ</t>
  </si>
  <si>
    <t xml:space="preserve">SAFRI BIN USMAN </t>
  </si>
  <si>
    <t>NORSYAHIDA BT AHMAD</t>
  </si>
  <si>
    <t xml:space="preserve">PEG ABM </t>
  </si>
  <si>
    <t>MOHAMMAD NAJIB BIN ZAKARIA</t>
  </si>
  <si>
    <t xml:space="preserve">MOHD HERMAN BIN KAMARUDIN </t>
  </si>
  <si>
    <t>MUHAMAD FAZLY BIN MUSTAFA KAMAR</t>
  </si>
  <si>
    <t xml:space="preserve">HASMIZA BTE BAHAROM </t>
  </si>
  <si>
    <t>JUNAINAH BTE MUIN</t>
  </si>
  <si>
    <t xml:space="preserve">MEJ </t>
  </si>
  <si>
    <t>MOHD WAIZ LUTFI BIN ABD LATIF</t>
  </si>
  <si>
    <t>MK ATB 2</t>
  </si>
  <si>
    <t>MOHD KHAIRUDDIN BIN MUSTAFFA</t>
  </si>
  <si>
    <t>MOHD FAKHRUL HADI BIN AHMAD SAMSURI</t>
  </si>
  <si>
    <t>KHAIRUL ANUAR BIN ASISPOL BAHAR</t>
  </si>
  <si>
    <t>MK 12 BGD</t>
  </si>
  <si>
    <t>KHAIRUL ANWAR BIN ISMAIL</t>
  </si>
  <si>
    <t>PS 2 GAJI/BEL</t>
  </si>
  <si>
    <t>MOHD HAIRI BIN SAMDIN</t>
  </si>
  <si>
    <t>PS 2 GAJI</t>
  </si>
  <si>
    <t>KHAIRUL ANUAR BIN AB MAJID</t>
  </si>
  <si>
    <t xml:space="preserve">SHAHIERA BTE JALALUDIN </t>
  </si>
  <si>
    <t>PS 2 AKAUN</t>
  </si>
  <si>
    <t>MOHD SHAHRIZAD BIN MOHD TERMIZI</t>
  </si>
  <si>
    <t>SAHRIN BIN IBRAHIM</t>
  </si>
  <si>
    <t>MOHD RIDZUAN BIN MD ARIFFIN</t>
  </si>
  <si>
    <t>96 HAT</t>
  </si>
  <si>
    <t>KHAIRIZAL BIN RAUOB</t>
  </si>
  <si>
    <t>MOHD ABD HAFIZ BIN MOHD NAZRI</t>
  </si>
  <si>
    <t>NUR ALIA CATHERINE BTE ABDULLAH</t>
  </si>
  <si>
    <t xml:space="preserve">PS 2 KEWANGAN </t>
  </si>
  <si>
    <t>KETUA AUDIT STAR RATING</t>
  </si>
  <si>
    <t>MK TD - BITD</t>
  </si>
  <si>
    <t>MK LOGISTIK TD</t>
  </si>
  <si>
    <t>NANI ARYANTI BTE MD HANIF</t>
  </si>
  <si>
    <t>MTD</t>
  </si>
  <si>
    <t xml:space="preserve">HJ SHAHRIL BIN CHE SHAFIE </t>
  </si>
  <si>
    <t>JUNITA ADLINA BTE HADLIN</t>
  </si>
  <si>
    <t>MOHD FADHLIE BIN ZAKARIA</t>
  </si>
  <si>
    <t>AZHARI BIN CHE RUS</t>
  </si>
  <si>
    <t>MOHAMMAD KHAIRUL SYAWAL BIN ABDUL KARIM</t>
  </si>
  <si>
    <t>HARTINI BTE MD AMIN</t>
  </si>
  <si>
    <t>PS 2 PERSONAL EMOLUMEN (PE)</t>
  </si>
  <si>
    <t>IQTIYANIE MARLITA BTE MOHD GANI</t>
  </si>
  <si>
    <t>NORZIEANA BTE ISMAIL</t>
  </si>
  <si>
    <t>MAHATHIR BIN DAUD</t>
  </si>
  <si>
    <t>PS 2 RANCANG A3</t>
  </si>
  <si>
    <t>YOONG  SOON  KIONG</t>
  </si>
  <si>
    <t>MAWILLUD 1</t>
  </si>
  <si>
    <t>NATASYA AINI BTE OSMAN</t>
  </si>
  <si>
    <t>MOHD FAIZAL BIN ABDUL WAHID</t>
  </si>
  <si>
    <t>BADRUL HISHAM BIN MOHD SOHAIMI</t>
  </si>
  <si>
    <t>MAWILUD 2</t>
  </si>
  <si>
    <t>ASRUL BIN BAHAR</t>
  </si>
  <si>
    <t>AHMAD LUFTI BIN BABA</t>
  </si>
  <si>
    <t>NAZIRUDDIN BIN ISMAIL</t>
  </si>
  <si>
    <t xml:space="preserve">JUHAIRI RAFHAN BIN JASMANI </t>
  </si>
  <si>
    <t>KU NORAZLINI BTE MOHD ALI</t>
  </si>
  <si>
    <t>PU SENDAYAN</t>
  </si>
  <si>
    <t>YUSRI BIN DARUS</t>
  </si>
  <si>
    <t>AMINUDDIN BIN RASPANI</t>
  </si>
  <si>
    <t>PS 2 TKAT</t>
  </si>
  <si>
    <t>LT KOL</t>
  </si>
  <si>
    <t>JURULATIH KANAN</t>
  </si>
  <si>
    <t>ABDULLAH BIN AYOB</t>
  </si>
  <si>
    <t>MK 3 DIV</t>
  </si>
  <si>
    <t xml:space="preserve">PS 1 KEWANGAN </t>
  </si>
  <si>
    <t>IZWAN BIN ISMAIL</t>
  </si>
  <si>
    <t xml:space="preserve">PS 1 BELANJAWAN </t>
  </si>
  <si>
    <t>MOHD AZIZI BIN AHMAD</t>
  </si>
  <si>
    <t xml:space="preserve">MOHD AZIZAN BIN MUSTAPHA </t>
  </si>
  <si>
    <t>AZARUL AZUAN BIN ABDULLAH</t>
  </si>
  <si>
    <t>MK AB - J4</t>
  </si>
  <si>
    <t>JAMAL BIN SAPRI</t>
  </si>
  <si>
    <t xml:space="preserve">MUHSIN BIN HJ HARUN </t>
  </si>
  <si>
    <t>(k)</t>
  </si>
  <si>
    <t>(j)</t>
  </si>
  <si>
    <t>(i)</t>
  </si>
  <si>
    <t>(h)</t>
  </si>
  <si>
    <t>(g)</t>
  </si>
  <si>
    <t>(f)</t>
  </si>
  <si>
    <t>(d)</t>
  </si>
  <si>
    <t>(c)</t>
  </si>
  <si>
    <t>(b)</t>
  </si>
  <si>
    <t>(a)</t>
  </si>
  <si>
    <t>JAWATAN</t>
  </si>
  <si>
    <t>PASUKAN</t>
  </si>
  <si>
    <t>NAMA PENUH</t>
  </si>
  <si>
    <t>PKT</t>
  </si>
  <si>
    <t>NO TEN</t>
  </si>
  <si>
    <t>BIL</t>
  </si>
  <si>
    <t xml:space="preserve">PAVITRAN NAIDU A/L GANASEN             </t>
  </si>
  <si>
    <t xml:space="preserve">ZULKIFLE BIN HASHIM  </t>
  </si>
  <si>
    <t>MOHAMAD HAZRI BIN HAMZAH</t>
  </si>
  <si>
    <t>NORAPIDAH BTE ABU BAKAR</t>
  </si>
  <si>
    <t>NUR HAFIZULLAH BIN IDRIS</t>
  </si>
  <si>
    <t>FAZLIN ERWINAZ  BTE HASSAN</t>
  </si>
  <si>
    <t>NORHAFIFAH BTE MAJID</t>
  </si>
  <si>
    <t xml:space="preserve">ABDUL RAZAK BIN IBRAHIM </t>
  </si>
  <si>
    <t>MK ATM - SEK</t>
  </si>
  <si>
    <t>PUSPAHANAS</t>
  </si>
  <si>
    <t>MK ATM - BPK</t>
  </si>
  <si>
    <t>MK TD - JAB ARAH PUTD</t>
  </si>
  <si>
    <t>MK ATM - BPKP</t>
  </si>
  <si>
    <t>MENU</t>
  </si>
  <si>
    <t>PASANGAN</t>
  </si>
  <si>
    <t xml:space="preserve">AYAM </t>
  </si>
  <si>
    <t xml:space="preserve">DAGING </t>
  </si>
  <si>
    <t>IKAN</t>
  </si>
  <si>
    <t>HADIR</t>
  </si>
  <si>
    <t>TIDAK HADIR</t>
  </si>
  <si>
    <t>(e )</t>
  </si>
  <si>
    <t>L</t>
  </si>
  <si>
    <t>P</t>
  </si>
  <si>
    <t>(l)</t>
  </si>
  <si>
    <t>KEHADIRAN PASANGAN</t>
  </si>
  <si>
    <t>JUMLAH</t>
  </si>
  <si>
    <t>BRIG JEN</t>
  </si>
  <si>
    <t>PENGARAH</t>
  </si>
  <si>
    <t xml:space="preserve">MOHD LUTPI TAUFIK BIN CHE MAT MIN </t>
  </si>
  <si>
    <t>PS 1 AKAUN</t>
  </si>
  <si>
    <t>AZHAR BIN AHMAD</t>
  </si>
  <si>
    <t>PS 1 TURUS</t>
  </si>
  <si>
    <t>PS 1 BAYARAN</t>
  </si>
  <si>
    <t>PEMEGANG PANJAR ATM 101</t>
  </si>
  <si>
    <t>AIFALINDA BTE JAMALUDIN</t>
  </si>
  <si>
    <t>PS 2 AKAUN PEGAWAI</t>
  </si>
  <si>
    <t>ZULKARNAIN BIN AMIR</t>
  </si>
  <si>
    <t>PS 2 AKAUN LLP</t>
  </si>
  <si>
    <t>NURHUDA BTE AMAT PUAD</t>
  </si>
  <si>
    <t>PS 2 DASAR TEKNIK</t>
  </si>
  <si>
    <t>SHAHIZAM BIN MOHD SHARIF</t>
  </si>
  <si>
    <t>UMMI KALSOM BTE MOHD LIAS</t>
  </si>
  <si>
    <t>PS 2 PANJAR</t>
  </si>
  <si>
    <t>PS 3 LATIH</t>
  </si>
  <si>
    <t>NUR IZZATI BINTI ZAIDEL</t>
  </si>
  <si>
    <t>ISMAH RASYIDAH BINTI MANSOR</t>
  </si>
  <si>
    <t>MUHAMMAD ZAMIR BIN ROSLAN</t>
  </si>
  <si>
    <t>ADAM BIN YUSOH</t>
  </si>
  <si>
    <t>PS 3 KOORDINASI</t>
  </si>
  <si>
    <t>MOHD ISMAIL BIN MAT YAHAYA</t>
  </si>
  <si>
    <t>SITI RUHIYAH BINTI ABDULLAH</t>
  </si>
  <si>
    <t>PS 3 DASAR TEKNIK</t>
  </si>
  <si>
    <t xml:space="preserve">MUHAMAD AMIRUL SHAFIQ BIN MOHD AMIN </t>
  </si>
  <si>
    <t>PS 3 TADBIR</t>
  </si>
  <si>
    <t>ASNIDAR BINTI MOHAMMAD SAID</t>
  </si>
  <si>
    <t>RAIZARUL AZFAR BIN RUSLAN</t>
  </si>
  <si>
    <t>MOHD HAFIZUDDIN BIN OSMAN</t>
  </si>
  <si>
    <t>(m)</t>
  </si>
  <si>
    <t>(n)</t>
  </si>
  <si>
    <t>RAJADURAI A/L PALANIAPPEN</t>
  </si>
  <si>
    <t>KOL</t>
  </si>
  <si>
    <t>PENGARAH BELANJAWAN</t>
  </si>
  <si>
    <t>MK PLDTD</t>
  </si>
  <si>
    <t>PS 1 UNDANG - UNDANG</t>
  </si>
  <si>
    <t>MK BGD KE-31 INF</t>
  </si>
  <si>
    <t>HAT TUANKU MIZAN</t>
  </si>
  <si>
    <t>NORADLIHISAM BIN MOHD KHALIL</t>
  </si>
  <si>
    <t>PS 2 PEROLEHAN</t>
  </si>
  <si>
    <t>PS 2 GAJI &amp; BELANJAWAN</t>
  </si>
  <si>
    <t>MK BGD KE-30 INF</t>
  </si>
  <si>
    <t>PS 2 KEWANGAN</t>
  </si>
  <si>
    <t xml:space="preserve">NOR AZREEN BTE ZAKARIA </t>
  </si>
  <si>
    <t>MPPLU</t>
  </si>
  <si>
    <t>PEGAWAI BELANJA MENGURUS</t>
  </si>
  <si>
    <t>MK BGD KE-13 INF</t>
  </si>
  <si>
    <t>TUDM SUBANG</t>
  </si>
  <si>
    <t>MUHAMMAD AFIFFUDDIN BIN MOHD YUSOP</t>
  </si>
  <si>
    <t>REJ 881 PUTD</t>
  </si>
  <si>
    <t>JAB ARAH PUTD</t>
  </si>
  <si>
    <t>PS 3 GAJI</t>
  </si>
  <si>
    <t>MUHAMMAD AZIM RIDHWAN BIN MOHD AZMI</t>
  </si>
  <si>
    <t>TUDM KUANTAN</t>
  </si>
  <si>
    <t>SITI NURHAFIZAH BINTI MOHAMAD NOH</t>
  </si>
  <si>
    <t>NUR SHYIDA BINTI SAZALI</t>
  </si>
  <si>
    <t>MOHD AIMAN BIN CHE HASSAN</t>
  </si>
  <si>
    <t>REJ 510 AW</t>
  </si>
  <si>
    <t xml:space="preserve">MOHAMMAD NOR SYAKIMIE B ABD AZIZ </t>
  </si>
  <si>
    <t>PS 3 PANJAR &amp; PERKHIDMATAN</t>
  </si>
  <si>
    <t xml:space="preserve">MOHAMAD MUQTAKHAZUL BIN ROSDI </t>
  </si>
  <si>
    <t>KTU</t>
  </si>
  <si>
    <t xml:space="preserve">MOHAMAD SHAFIZUDDIN BIN MOHD ZANGI </t>
  </si>
  <si>
    <t xml:space="preserve">MUHAMAD AFIQ BIN MUHAMAD NOR </t>
  </si>
  <si>
    <t>21 RAD</t>
  </si>
  <si>
    <t xml:space="preserve">UMMU HAZIRA HANI BINTI JOHAN </t>
  </si>
  <si>
    <t xml:space="preserve">AZRUL HISYAM BIN ZULKEFLEE </t>
  </si>
  <si>
    <t>NORSHAZMIRA BINTI MOHD SAFRI</t>
  </si>
  <si>
    <t>KEM 2 DIV</t>
  </si>
  <si>
    <t xml:space="preserve">NUR AMALINA BINTI MOHD SAFI </t>
  </si>
  <si>
    <t xml:space="preserve">NUR AQILAH BINTI MAZLAN </t>
  </si>
  <si>
    <t>1 KAD</t>
  </si>
  <si>
    <t>NUR HIDAYAH BINTI ANUAR</t>
  </si>
  <si>
    <t xml:space="preserve">MUHAMMAD LOKMAN HAKIM BIN AHMAD </t>
  </si>
  <si>
    <t>MUHAMMAD HAFIZUL ASLAM BIN ZURI</t>
  </si>
  <si>
    <t>MELISSA ONELLIA EDWARD NOYED</t>
  </si>
  <si>
    <t>MOHAMMAD FAUZAN BIN AZHAR</t>
  </si>
  <si>
    <t xml:space="preserve">MUHAMMAD HAFIS BIN MOHD JOHARI </t>
  </si>
  <si>
    <t>MUHAMMAD QIWAMUDDIN BIN KHAIRUL ANUAR</t>
  </si>
  <si>
    <t xml:space="preserve">NURUL FADHILAH BINTI ABD HALIM </t>
  </si>
  <si>
    <t>SYED UMAR BIN SYED KHAIRULAMAN BENYAHYA</t>
  </si>
  <si>
    <t>18 RAMD (PARA)</t>
  </si>
  <si>
    <t>TUAN MOHAMMAD HAFIZ BIN TUAN HASSAN</t>
  </si>
  <si>
    <t>NURUL FILZAH BINTI MOHD FAUZI</t>
  </si>
  <si>
    <t>TWESHAA DEVI A/P JELVARAJAH</t>
  </si>
  <si>
    <t xml:space="preserve">ABDUL QAYYUM BIN MUSTAFA </t>
  </si>
  <si>
    <t>ADIL AFIQ BIN ABD HAMID</t>
  </si>
  <si>
    <t xml:space="preserve">AHMAD DA’IYAN BIN AHMAD NIZAM </t>
  </si>
  <si>
    <t>AHMAD HAZIM BIN RAMLI</t>
  </si>
  <si>
    <t>AHMAD ZHAFRI ZAL HASMI BIN  MOHD HASHIM</t>
  </si>
  <si>
    <t>MUHAMMAD ASYRAAF BIN AZLEE</t>
  </si>
  <si>
    <t>NURUL SHUHADAH BINTI RAHMAT</t>
  </si>
  <si>
    <t>SITI NURUL NABILAH BINTI ZAIFUDDIN</t>
  </si>
  <si>
    <t>GUSNAWATI BINTI AMBOLALA</t>
  </si>
  <si>
    <t>KOL OPERASI</t>
  </si>
  <si>
    <t>LPK (L2)</t>
  </si>
  <si>
    <t>NORAZLINA BINTI IBRAHIM</t>
  </si>
  <si>
    <t>NORSYAZURA BINTI MUSA</t>
  </si>
  <si>
    <t>PS 1 PTJ</t>
  </si>
  <si>
    <t>PS 1 TEKNOLOGI MAKLUMAT</t>
  </si>
  <si>
    <t>PS 2 KERJAYA</t>
  </si>
  <si>
    <t>ROSMAZIA BINTI MUSTAPHA</t>
  </si>
  <si>
    <t>PS 2 PEMBERHENTIAN DAN CUKAI</t>
  </si>
  <si>
    <t>PS 2 KOORDINASI</t>
  </si>
  <si>
    <t>PEGAWAI OPERASI</t>
  </si>
  <si>
    <t>PS 2 AGENSI &amp; SUKARELA</t>
  </si>
  <si>
    <t>PEGAWAI APLIKASI</t>
  </si>
  <si>
    <t>PS 3 PEMBERHENTIAN &amp; CUKAI</t>
  </si>
  <si>
    <t>PS 3 PEMBANGUNAN</t>
  </si>
  <si>
    <t>PS 3 PENGURUSAN KEWANGAN</t>
  </si>
  <si>
    <t>NURUL MARDHIAH BINTI A. RAZAK</t>
  </si>
  <si>
    <t>KARMALITA BINTI LAGANI</t>
  </si>
  <si>
    <t>PEGAWAI GAJI &amp; LOGISTIK</t>
  </si>
  <si>
    <t>PS 3 ICT PERCUKAIAN</t>
  </si>
  <si>
    <t xml:space="preserve">NURUL ADILAH BT ABD MALEK  </t>
  </si>
  <si>
    <t>MUHAMMAD RASYDAN BIN ISMAIL</t>
  </si>
  <si>
    <t>MOHD NAZIRUL MUBIN BIN ABDUL RAZAK</t>
  </si>
  <si>
    <t xml:space="preserve">HABIB AZIZI BIN MOHD BAKERI </t>
  </si>
  <si>
    <t>MUHAMMAD SHAHRIN ANUAR BIN MOHD SHAMIZAM@SUHAIMI</t>
  </si>
  <si>
    <t>ADRIANA BINTI NAHAR AZMI MAHMUD</t>
  </si>
  <si>
    <t>AHMAD NURNAQIB BIN NASHARUDDIN</t>
  </si>
  <si>
    <t>CHE MUHAMAD AFHAM BIN MOHD ZAHARI</t>
  </si>
  <si>
    <t>CLODEAN HITCHER NYALONG ANAK NOEL</t>
  </si>
  <si>
    <t>IZZATUL FARIHAH BINTI BASRI</t>
  </si>
  <si>
    <t>TUDM BUKIT JUGRA</t>
  </si>
  <si>
    <t>MOHAMAD AMIRUL HAMIZAN BIN MUBIN</t>
  </si>
  <si>
    <t>MUHAMAD KHAIRUL ASLAM BIN MOHD ROBI</t>
  </si>
  <si>
    <t>MUHAMMAD NAIM BIN RASHIDI</t>
  </si>
  <si>
    <t>NORSILKHANNAZ BIN MUHAMMAD</t>
  </si>
  <si>
    <t>NUR AIN BINTI AHMAD NORDIN</t>
  </si>
  <si>
    <t>PS 3 AGENSI</t>
  </si>
  <si>
    <t>NUR AMIERAH BINTI ZULKIFLI</t>
  </si>
  <si>
    <t>NURUL IZZATY BINTI RIDZUAN</t>
  </si>
  <si>
    <t>WAN NURDINI BINTI MIOR ABD HALIM</t>
  </si>
  <si>
    <t>NURUL AFIQAH BINTI ADNAN</t>
  </si>
  <si>
    <t>Ts. MUHAMMAD AIZAT BIN MUHAMMAD SUHAIMI</t>
  </si>
  <si>
    <t>PS 2 INSPEKTORAT</t>
  </si>
  <si>
    <t>JUMLAH KESELURUHAN</t>
  </si>
  <si>
    <t>PEG</t>
  </si>
  <si>
    <t>(o)</t>
  </si>
  <si>
    <t>PECAHAN KESELURUHAN KEHADIRAN MENGIKUT MENU</t>
  </si>
  <si>
    <t>Bil</t>
  </si>
  <si>
    <t>Perkara</t>
  </si>
  <si>
    <t>Kehadiran</t>
  </si>
  <si>
    <t>Jumlah</t>
  </si>
  <si>
    <t xml:space="preserve"> Pecahan Menu</t>
  </si>
  <si>
    <t>Hadir</t>
  </si>
  <si>
    <t>Tidak Hadir</t>
  </si>
  <si>
    <t>Ayam</t>
  </si>
  <si>
    <t xml:space="preserve">Daging </t>
  </si>
  <si>
    <t>Ikan</t>
  </si>
  <si>
    <t>Pegawai</t>
  </si>
  <si>
    <t>Pasangan Pegawai</t>
  </si>
  <si>
    <t xml:space="preserve">Jumlah </t>
  </si>
  <si>
    <t>Jantina Kehadiran</t>
  </si>
  <si>
    <t>Lelaki</t>
  </si>
  <si>
    <t>Wanita</t>
  </si>
  <si>
    <t>JANTINA YANG HADIR</t>
  </si>
  <si>
    <t>REJ 515 AW</t>
  </si>
  <si>
    <t>Belum Bagi Jawapan</t>
  </si>
  <si>
    <t>KOL PENGURUSAN</t>
  </si>
  <si>
    <t>MK TD - G5</t>
  </si>
  <si>
    <t>MK TD - G1</t>
  </si>
  <si>
    <t>NORAZILENA BINTI  MOHAMAD NOR</t>
  </si>
  <si>
    <t>BADP</t>
  </si>
  <si>
    <t>KETUA JURUAUDIT DARAT</t>
  </si>
  <si>
    <t>MTAT 2026</t>
  </si>
  <si>
    <t>MK ATM - BPP (ABB)</t>
  </si>
  <si>
    <t>PS 1 KEWANGAN ABB</t>
  </si>
  <si>
    <t>KETUA JURUAUDIT BERSAMA</t>
  </si>
  <si>
    <t>ROSLIZA BTE ARIFIN</t>
  </si>
  <si>
    <t>MK TD - G3/G7</t>
  </si>
  <si>
    <t>LT KOL (F)</t>
  </si>
  <si>
    <t>PS 2 EMOLUMEN</t>
  </si>
  <si>
    <t>BPA - CTK</t>
  </si>
  <si>
    <t>MK ATM - MSAT (PBAT)</t>
  </si>
  <si>
    <t>BENDAHARI PBAT</t>
  </si>
  <si>
    <t>MAZIAH BTE ABDUL MANAF</t>
  </si>
  <si>
    <t>PENGURUS WISMA</t>
  </si>
  <si>
    <t>MK TD - G8</t>
  </si>
  <si>
    <t>PEGAWAI BELANJAWAN</t>
  </si>
  <si>
    <t>NORAFLINA BTE MOHD ANUAR</t>
  </si>
  <si>
    <t>HAT WKK</t>
  </si>
  <si>
    <t>NORBAIZURA LIANI BTE MOHD ROZLAN</t>
  </si>
  <si>
    <t>PS 2 BAYARAN</t>
  </si>
  <si>
    <t>HASNIZA BTE MUHAMMAD</t>
  </si>
  <si>
    <t>SITI FATIMAH BTE DAUD</t>
  </si>
  <si>
    <t>MK TD - G6</t>
  </si>
  <si>
    <t>BPA - JAB KAGAT</t>
  </si>
  <si>
    <t>KPSM 2026</t>
  </si>
  <si>
    <t>SARAH NUR AISYAH KAY BINTI ABDULLAH</t>
  </si>
  <si>
    <t>BIJ ATM</t>
  </si>
  <si>
    <t>PS 2 AUDIT KEWANGAN</t>
  </si>
  <si>
    <t>MATM - BOPKP</t>
  </si>
  <si>
    <t>MK TD - G4</t>
  </si>
  <si>
    <t>PS 2 GAJI/BELANJAWAN</t>
  </si>
  <si>
    <t>94 HAT</t>
  </si>
  <si>
    <t>PEJ KS MK ATM</t>
  </si>
  <si>
    <t>PS 2 BAKAT GABUNGAN</t>
  </si>
  <si>
    <t>Ts. FIKRI HANIS BIN MD BADARUDIN</t>
  </si>
  <si>
    <t>PS 2 BELANJAWAN (B)</t>
  </si>
  <si>
    <t>SANUSI BIN MOHD NOOR</t>
  </si>
  <si>
    <t>AZZRUL HAFIEZ BIN HUSIN</t>
  </si>
  <si>
    <t>MIDAS</t>
  </si>
  <si>
    <t>PEGAWAI KEWANGAN</t>
  </si>
  <si>
    <t>PEG GAJI (TUGAS KHAS)</t>
  </si>
  <si>
    <t>PS 3 (A) BAKAT MK ATM</t>
  </si>
  <si>
    <t>PS 3 AKAUN LLP DARAT A</t>
  </si>
  <si>
    <t>PS 3 BAKAT B</t>
  </si>
  <si>
    <t>KEM MK PMBTD</t>
  </si>
  <si>
    <t>PS 3 KEWANGAN</t>
  </si>
  <si>
    <t xml:space="preserve">SYAMIER AFIQ BIN ZAINAL ABIDIN </t>
  </si>
  <si>
    <t>NURZATI UMAIRAH BINTI ABDUL HALIM</t>
  </si>
  <si>
    <t>PS 3 AKAUN PEGAWAI</t>
  </si>
  <si>
    <t>PS 3 KOMPUTER (APLIKASI)</t>
  </si>
  <si>
    <t>4 KAD</t>
  </si>
  <si>
    <t xml:space="preserve">ANIS RADHIAH BINTI MUHD RADZI </t>
  </si>
  <si>
    <t xml:space="preserve">HAMIDATILQUDDUSULKAMILAH BINTI BERHIM </t>
  </si>
  <si>
    <t xml:space="preserve">MIRZA BINTI MOHD FAUZI </t>
  </si>
  <si>
    <t xml:space="preserve">MOHAMAD AZRUL BIN FADZIL </t>
  </si>
  <si>
    <t>22 RAMD</t>
  </si>
  <si>
    <t xml:space="preserve">MUJDRIA BINTI RUSTAN </t>
  </si>
  <si>
    <t xml:space="preserve">SITI AISYAH ANISH BINTI ROSLI </t>
  </si>
  <si>
    <t>CATATAN/
SEBAB TIDAK HADIR</t>
  </si>
  <si>
    <t>Terlibat dengan Audit di Pasukan</t>
  </si>
  <si>
    <t>Mengiringi panglima lawatan ke unit di Kem Gemas</t>
  </si>
  <si>
    <t>Bercuti Luar Negara</t>
  </si>
  <si>
    <t>Tinjauan Akhir SKAW Siri 39/2026 di Langkawi pada 29/4 - 2 /5</t>
  </si>
  <si>
    <t>Cuti tahun</t>
  </si>
  <si>
    <t>Terlibat Audit Panglima Wilayah 1 ke atas Pangkalan Udara Gong Kedak dari 25 hingga 30 Apr 26</t>
  </si>
  <si>
    <t>Cuti tahun. Bawa anak ke International Open Taekwando Championship (30/4-3/5)</t>
  </si>
  <si>
    <t>Terlibat sebagai Seketariat Aktiviti dan Mesyuarat Pengurusan PMTTD</t>
  </si>
  <si>
    <t>PEGAWAI STAF BERTUGAS MPLDTD</t>
  </si>
  <si>
    <t>DISEBABKAN TERLIBAT DENGAN PERSIAPAN MAJLIS PERKAHWINAN ADIK NO 3</t>
  </si>
  <si>
    <t>ISTERI BARU BERSALIN</t>
  </si>
  <si>
    <t>DET REJ 881 PUTD, SANDAKAN (OP KHAS) MULAI 6 APR - 20 MEI 26</t>
  </si>
  <si>
    <t>CUTI BERSALIN</t>
  </si>
  <si>
    <t>TUGAS LUAR</t>
  </si>
  <si>
    <t>Cuti bersalin</t>
  </si>
  <si>
    <t>DALAM RAWATAN</t>
  </si>
  <si>
    <t>SUAMI TENGAH KURSUS MAKA ADA MASALAH DALAM PENGURUSAN ANAK-ANAK</t>
  </si>
  <si>
    <t xml:space="preserve">SAKSI PERBICARAAN MAHKAMAH </t>
  </si>
  <si>
    <t>TERLIBAT MAJLIS BERSAMA KOMANDER</t>
  </si>
  <si>
    <t>Majlis Makan Malam Rejimental sempena HUT Pasukan pada tarikh tersebut</t>
  </si>
  <si>
    <t xml:space="preserve">Melangsungkan perkahwinan pada 1 Mei 26 </t>
  </si>
  <si>
    <t>ZANARIAH BINTI IBRAHIM</t>
  </si>
  <si>
    <t>MEJ KHAIRULLIZAM BIN SARUDDIN TUDM</t>
  </si>
  <si>
    <t>PN HANA RAFIDAH BINTI HASHIM</t>
  </si>
  <si>
    <t>NURULNAJLAA BINTI IBRAHIM</t>
  </si>
  <si>
    <t>NURHAZWANI BINTI AHMAD FUAD</t>
  </si>
  <si>
    <t>Sarimah bunti Saad</t>
  </si>
  <si>
    <t>MEJ ZAWIR BIN MAHAMUD TUDM</t>
  </si>
  <si>
    <t>ISMAWATI BINTI IDRIS</t>
  </si>
  <si>
    <t>Mej Wan Mohd Akram bin Hj Saidon</t>
  </si>
  <si>
    <t>NUR ANIAH BINTI MOHAMAD SHAHRIL</t>
  </si>
  <si>
    <t>Mej Mohd Faudzi bin Che Hashim</t>
  </si>
  <si>
    <t>MEJ MOHD SAMSUL BIN ABDUL AZIZ</t>
  </si>
  <si>
    <t>KAPT NURFARAHIN BINTI MOHD MOKHTAR</t>
  </si>
  <si>
    <t>MARDIANA BINTI MAAROF</t>
  </si>
  <si>
    <t>MEJ MUHAMMAD AIZAT BIN ABDUL RAHIM</t>
  </si>
  <si>
    <t>TC. MUHAMMAD FAHIZNAWAWIE BIN ALIDDIN</t>
  </si>
  <si>
    <t xml:space="preserve">IWARDATUL ADHA BINTI AZIZI </t>
  </si>
  <si>
    <t>BALKIS FARHANA BINTI OTHMAN</t>
  </si>
  <si>
    <t>PUSPALAILY BINTI ISHAK</t>
  </si>
  <si>
    <t>UMMI YANTI BTE LATHEEF</t>
  </si>
  <si>
    <t xml:space="preserve">NOOR SHARMIRA BINTI ZAIDI </t>
  </si>
  <si>
    <t>NORNATASYA BINTI MOHD SABARUDDIN</t>
  </si>
  <si>
    <t>KAPT MUHAMMAD HAFIY HAMIZAN BIN MD RIFE</t>
  </si>
  <si>
    <t xml:space="preserve">LIM SIEW HUI </t>
  </si>
  <si>
    <t xml:space="preserve">Ainnurnadhirah binti Abdul Samad </t>
  </si>
  <si>
    <t xml:space="preserve">Muhammad Arif bin Rosli </t>
  </si>
  <si>
    <t>NUR IZARIEDA BINTI ZULKARNAIN</t>
  </si>
  <si>
    <t>LT KOL MOHAMAD ARIFIN LIPIN BIN 
ABDULLAH</t>
  </si>
  <si>
    <t>Mej Shahfizal bin Khairudin</t>
  </si>
  <si>
    <t xml:space="preserve">LT KOL FAIRUZ IKMAL BIN YACCUB </t>
  </si>
  <si>
    <t>Mej Nurakmal bin Hassan</t>
  </si>
  <si>
    <t xml:space="preserve">Pasukan tetlibat Audit Pakar gaji </t>
  </si>
  <si>
    <t>Terlibat AKPAT Zon Sarawak</t>
  </si>
  <si>
    <t>Lt Siti Nuraisyah binti Md Sidek</t>
  </si>
  <si>
    <t>Mastura binti Rosli</t>
  </si>
  <si>
    <t>MEJ MOHD SANIN BIN SUPARMAN</t>
  </si>
  <si>
    <t>KAPT MUHAMMAD HANIS BIN ABDUL TUDM</t>
  </si>
  <si>
    <t>MOHD ZULFADHLI BIN ZULKIFLI</t>
  </si>
  <si>
    <t>MARYAM ATIEQAH BINTI AHMAD HILMY</t>
  </si>
  <si>
    <t>MAYVIA MICHELLE ANAK DIBIT</t>
  </si>
  <si>
    <t>NUR AMALINA BINTI MOHAMMED WAZIR</t>
  </si>
  <si>
    <t xml:space="preserve">NURUL BADRIYAH BINTI YUSOFF </t>
  </si>
  <si>
    <t>MUHAMMAD AKMAL FIKRI BIN KASSIM</t>
  </si>
  <si>
    <t>Mej Maizatu Liyana binti Mohd Zakidin</t>
  </si>
  <si>
    <t>TERLIBAT PERBARISAN TIMBALAN KOMANDER REJ 513 AW</t>
  </si>
  <si>
    <t xml:space="preserve">PENGLIBATAN EXIT CONFERENCE AUDIT NAZIRAN </t>
  </si>
  <si>
    <t>MENGHADIRI MAJLIS MAKAN MALAM PASUKAN DAN MAJLIS SERAH MENYERAH PEGAWAI MEMERINTAH</t>
  </si>
  <si>
    <t>HUT BGD</t>
  </si>
  <si>
    <t>Menguruskan pendaftaran &amp; pentadbiran anak bagi menyambung pengajian FIA-ACCA</t>
  </si>
  <si>
    <t>DALAM IDDAH</t>
  </si>
  <si>
    <t>Terlibat dengan Perbarisan Serah Terima Tugas Penolong Pegawai Memerintah</t>
  </si>
  <si>
    <t>BBERCUTI SETELAH TAMAT KURSUS TEMPUR PEGAWAI MUDA SIRI 1/2026</t>
  </si>
  <si>
    <t>URUSAN KELUARGA</t>
  </si>
  <si>
    <t>TENGKU ASMA IZANI BINTI DATO’ TENGKU AZIZ</t>
  </si>
  <si>
    <t>HAJAH FADILAH BINTI AHMAD</t>
  </si>
  <si>
    <t>SHARINA YUSNEEN BINTI KAMARUDDIN</t>
  </si>
  <si>
    <t>KEHADIRAN PEGAWAI</t>
  </si>
  <si>
    <t>Pegawai Staf Bertugas</t>
  </si>
  <si>
    <t>AMIR IMRAN BIN RAMLI</t>
  </si>
  <si>
    <t>NOR ZURIATI BINTI ZAINAL</t>
  </si>
  <si>
    <t>TUGAS DI LUAR KAWASAN</t>
  </si>
  <si>
    <t>Faizzie Zainuddin</t>
  </si>
  <si>
    <t>MOHAMAD FAKHROL AIMAN BIN AZMI</t>
  </si>
  <si>
    <t>MUHAMMAD AMIROOL ILTIZAM BIN ISMAIL</t>
  </si>
  <si>
    <t>NUR AZLIN BINTI RUSLI</t>
  </si>
  <si>
    <t>BERCUTI LUAR NEGARA</t>
  </si>
  <si>
    <t>CUTI KEBAJIKAN</t>
  </si>
  <si>
    <t>Azrina binti Mohamad Hepni</t>
  </si>
  <si>
    <t>Pegawai/Pasangan/Keluarga Yang Diraikan</t>
  </si>
  <si>
    <t>NAMA</t>
  </si>
  <si>
    <t>CATATAN</t>
  </si>
  <si>
    <t>BRIG JEN DATO' ZAMZURI BIN HARUN</t>
  </si>
  <si>
    <t>KOL AZHAR BIN AHMAD</t>
  </si>
  <si>
    <t>YDP</t>
  </si>
  <si>
    <t>BRIG JEN DATO' ZAMZURI BIN HARUN (3004463)</t>
  </si>
  <si>
    <t>PEGAWAI DIRAIKAN</t>
  </si>
  <si>
    <t>TO’ PUAN HAJAH ZURYATI BINTI HJ ZULKIFLI</t>
  </si>
  <si>
    <t>ZULAIKHA BINTI DATO' ZAMZURI</t>
  </si>
  <si>
    <t>ZARIF BIN DATO' ZAMZURI</t>
  </si>
  <si>
    <t>ZAFRI BIN DATO' ZAMZURI</t>
  </si>
  <si>
    <t>PN RAHIMAH BINTI ALAM SAH</t>
  </si>
  <si>
    <t>KARTINA BINTI KHALID</t>
  </si>
  <si>
    <t>RAHAYU BINTI IBRAHIM</t>
  </si>
  <si>
    <t>DR SALIMAH BINTI HJ OTHMAN</t>
  </si>
  <si>
    <t>Puan Rusila binti Abdullah</t>
  </si>
  <si>
    <t>Kapt Ahmad Zaim Adam bin Chazali</t>
  </si>
  <si>
    <t>AHMAD ABRAR BIN ADAM MALIK</t>
  </si>
  <si>
    <t xml:space="preserve">MIKHAIL SEAN </t>
  </si>
  <si>
    <t>NUR ELIA SHAFIRA BINTI ROSDI</t>
  </si>
  <si>
    <t>MUHAMMAD ARIL FAISAL</t>
  </si>
  <si>
    <t>YOSITRA JELVARAJAH</t>
  </si>
  <si>
    <t>Mohd Nasrul bin Safudin</t>
  </si>
  <si>
    <t>KU FARISHA NABILAH BIN KU FAUZI</t>
  </si>
  <si>
    <t>AYATULLAH IMAM KHOMEINI BIN MAZRI</t>
  </si>
  <si>
    <t>NUR SYAHIRAH BINTI MOHAMED AZMI</t>
  </si>
  <si>
    <t>Suriyanie binti Mussalam</t>
  </si>
  <si>
    <t>MUHAMMAD AIDIL ASHRAFF BIN RAZALI</t>
  </si>
  <si>
    <t>NURSYUHADAH BINTI ZULFAKUR</t>
  </si>
  <si>
    <t>KAPT MOHAMAD SHUKRI BIN JUNOH</t>
  </si>
  <si>
    <t>UMMI FARHANA BINTI KAMARUL ZAMAN</t>
  </si>
  <si>
    <t>LT RIFFAT BIN MOHD YUSOF</t>
  </si>
  <si>
    <t>LILY NORHSHAHKIRA BINTI MOHD HIDIR</t>
  </si>
  <si>
    <t>MOHAMAD TERMIZI BIN ZOLKIFLY</t>
  </si>
  <si>
    <t>RADIN IKHMAL BIN RADIN SAKTI</t>
  </si>
  <si>
    <t>NUR FAZILA AZWA BINTI MOHAMED RODZI</t>
  </si>
  <si>
    <t>MUHAMMAD NAZMIERUL ADHA</t>
  </si>
  <si>
    <t>NORAZIAN BINTI ISMAIL</t>
  </si>
  <si>
    <t>SAHUL ADZEEM MIA BIN REJAB</t>
  </si>
  <si>
    <t>LtM Muhammad Syafiq Adam bin Saifuzzaman (3016681)</t>
  </si>
  <si>
    <t>Cuti Tahun</t>
  </si>
  <si>
    <t>Rawatan</t>
  </si>
  <si>
    <t>Dalam Rawatan</t>
  </si>
  <si>
    <t>AUDIT SILANG MK PMTTD</t>
  </si>
  <si>
    <t>CUTI URUSAN TANAH ISTERI</t>
  </si>
  <si>
    <t>Pegawai Tinggal Belakang</t>
  </si>
  <si>
    <t>Tinggal Belakang</t>
  </si>
  <si>
    <t>Memangku PS 2 Belanjawan</t>
  </si>
  <si>
    <t>PENYATA KEHADIRAN BAGI MAJLIS MAKAN MALAM REJIMENTAL PEGAWAI SEMPENA PENGHARGAAN MANTAN PENGARAH UGAT</t>
  </si>
  <si>
    <t>PENYATA TIDAK HADIR BAGI MAJLIS MAKAN MALAM REJIMENTAL PEGAWAI SEMPENA PENGHARGAAN MANTAN PENGARAH UGAT</t>
  </si>
  <si>
    <t>LT NUR AMIERAH BINTI ZULKIFLI</t>
  </si>
  <si>
    <t>LT NURUL IZZATY BINTI RIDZUAN</t>
  </si>
  <si>
    <t>LT NURUL AFIQAH BINTI ADNAN</t>
  </si>
  <si>
    <t>LT MOHAMAD AMIRUL HAMIZAN BIN MUBIN</t>
  </si>
  <si>
    <t>LT AHMAD NURNAQIB BIN NASHARUDDIN</t>
  </si>
  <si>
    <t>LT MUHAMMAD SHAHRIN ANUAR BIN MOHD SHAMIZAM@SUHAIMI</t>
  </si>
  <si>
    <t>LT MOHD NAZIRUL MUBIN BIN ABDUL RAZAK</t>
  </si>
  <si>
    <t>LT M MUHAMMAD SYAFIQ ADAM BIN SAIFUZZAMAN</t>
  </si>
  <si>
    <t>NYDP</t>
  </si>
  <si>
    <t>NORAINI BINTI SALEHUDIN</t>
  </si>
  <si>
    <t>DATO' ZAMZURI BIN HARUN</t>
  </si>
  <si>
    <t>AYAM</t>
  </si>
  <si>
    <t>DAGING</t>
  </si>
  <si>
    <t>PN TENGKU ASMA IZANI BINTI DATO’ TENGKU AZIZ</t>
  </si>
  <si>
    <t>PN HAJAH FADILAH BINTI AHMAD</t>
  </si>
  <si>
    <t>PN KARTINA BINTI KHALID</t>
  </si>
  <si>
    <t>PN RAHAYU BINTI IBRAHIM</t>
  </si>
  <si>
    <t>PN SHARINA YUSNEEN BINTI KAMARUDDIN</t>
  </si>
  <si>
    <t>PN ZANARIAH BINTI IBRAHIM</t>
  </si>
  <si>
    <t>PN Azrina binti Mohamad Hepni</t>
  </si>
  <si>
    <t>PN NOR ZURIATI BINTI ZAINAL</t>
  </si>
  <si>
    <t>PN Rusila binti Abdullah</t>
  </si>
  <si>
    <t>PN ISMAWATI BINTI IDRIS</t>
  </si>
  <si>
    <t xml:space="preserve">PN LIM SIEW HUI </t>
  </si>
  <si>
    <t>PN UMMI YANTI BTE LATHEEF</t>
  </si>
  <si>
    <t>PN Sarimah bunti Saad</t>
  </si>
  <si>
    <t>PN NURULNAJLAA BINTI IBRAHIM</t>
  </si>
  <si>
    <t>PN NORAINI BINTI SALEHUDIN</t>
  </si>
  <si>
    <t>PN BALKIS FARHANA BINTI OTHMAN</t>
  </si>
  <si>
    <t>PN MARDIANA BINTI MAAROF</t>
  </si>
  <si>
    <t>PN NURHAZWANI BINTI AHMAD FUAD</t>
  </si>
  <si>
    <t>PN NUR IZARIEDA BINTI ZULKARNAIN</t>
  </si>
  <si>
    <t>PN PUSPALAILY BINTI ISHAK</t>
  </si>
  <si>
    <t>PN NUR ANIAH BINTI MOHAMAD SHAHRIL</t>
  </si>
  <si>
    <t>PN NORNATASYA BINTI MOHD SABARUDDIN</t>
  </si>
  <si>
    <t xml:space="preserve">EN Muhammad Arif bin Rosli </t>
  </si>
  <si>
    <t>PN Mastura binti Rosli</t>
  </si>
  <si>
    <t>EN MOHD ZULFADHLI BIN ZULKIFLI</t>
  </si>
  <si>
    <t>PN NUR AZLIN BINTI RUSLI</t>
  </si>
  <si>
    <t xml:space="preserve">PN NOOR SHARMIRA BINTI ZAIDI </t>
  </si>
  <si>
    <t xml:space="preserve">PN IWARDATUL ADHA BINTI AZIZI </t>
  </si>
  <si>
    <t xml:space="preserve">EN MIKHAIL SEAN </t>
  </si>
  <si>
    <t>EN Faizzie Zainuddin</t>
  </si>
  <si>
    <t>PN NUR ELIA SHAFIRA BINTI ROSDI</t>
  </si>
  <si>
    <t>PN MARYAM ATIEQAH BINTI AHMAD HILMY</t>
  </si>
  <si>
    <t xml:space="preserve">PN Ainnurnadhirah binti Abdul Samad </t>
  </si>
  <si>
    <t>EN MUHAMMAD ARIL FAISAL</t>
  </si>
  <si>
    <t>EN YOSITRA JELVARAJAH</t>
  </si>
  <si>
    <t>PN MAYVIA MICHELLE ANAK DIBIT</t>
  </si>
  <si>
    <t>PN NUR AMALINA BINTI MOHAMMED WAZIR</t>
  </si>
  <si>
    <t>EN Mohd Nasrul bin Safudin</t>
  </si>
  <si>
    <t xml:space="preserve">PN NURUL BADRIYAH BINTI YUSOFF </t>
  </si>
  <si>
    <t>PN AYATULLAH IMAM KHOMEINI BIN MAZRI</t>
  </si>
  <si>
    <t>PN NUR SYAHIRAH BINTI MOHAMED AZMI</t>
  </si>
  <si>
    <t>PN MUHAMMAD AKMAL FIKRI BIN KASSIM</t>
  </si>
  <si>
    <t>PN Suriyanie binti Mussalam</t>
  </si>
  <si>
    <t>EN MUHAMMAD AMIROOL ILTIZAM BIN ISMAIL</t>
  </si>
  <si>
    <t>EN AMIR IMRAN BIN RAMLI</t>
  </si>
  <si>
    <t>EN MUHAMMAD AIDIL ASHRAFF BIN RAZALI</t>
  </si>
  <si>
    <t>EN MOHAMAD TERMIZI BIN ZOLKIFLY</t>
  </si>
  <si>
    <t>PN NUR FAZILA AZWA BINTI MOHAMED RODZI</t>
  </si>
  <si>
    <t>EN MOHAMAD FAKHROL AIMAN BIN AZMI</t>
  </si>
  <si>
    <t>EN MUHAMMAD NAZMIERUL ADHA</t>
  </si>
  <si>
    <t>PN NORAZIAN BINTI ISMAIL</t>
  </si>
  <si>
    <t>EN SAHUL ADZEEM MIA BIN REJAB</t>
  </si>
  <si>
    <t>Lt M Muhammad Syafiq Adam bin Saifuzzaman</t>
  </si>
  <si>
    <t xml:space="preserve">BRIG JEN ZULKIFLE BIN HASHIM  </t>
  </si>
  <si>
    <t xml:space="preserve">KOL MOHD LUTPI TAUFIK BIN CHE MAT MIN </t>
  </si>
  <si>
    <t xml:space="preserve">KOL MUHSIN BIN HJ HARUN </t>
  </si>
  <si>
    <t xml:space="preserve">KOL MOHD AZIZAN BIN MUSTAPHA </t>
  </si>
  <si>
    <t>LT KOL NORAZILENA BINTI  MOHAMAD NOR</t>
  </si>
  <si>
    <t>LT KOL JAMAL BIN SAPRI</t>
  </si>
  <si>
    <t>LT KOL MOHD AZIZI BIN AHMAD</t>
  </si>
  <si>
    <t>LT KOL NORAZLINA BINTI IBRAHIM</t>
  </si>
  <si>
    <t>LT KOL IZWAN BIN ISMAIL</t>
  </si>
  <si>
    <t>LT KOL BADRUL HISHAM BIN MOHD SOHAIMI</t>
  </si>
  <si>
    <t>LT KOL ZULKARNAIN BIN AMIR</t>
  </si>
  <si>
    <t>LT KOL MOHAMAD HAZRI BIN HAMZAH</t>
  </si>
  <si>
    <t>LT KOL SAHRIN BIN IBRAHIM</t>
  </si>
  <si>
    <t>LT KOL ROSLIZA BTE ARIFIN</t>
  </si>
  <si>
    <t>LT KOL MOHD SHAHRIZAD BIN MOHD TERMIZI</t>
  </si>
  <si>
    <t>LT KOL FAZLIN ERWINAZ  BTE HASSAN</t>
  </si>
  <si>
    <t>LT KOL (F) NAZIRUDDIN BIN ISMAIL</t>
  </si>
  <si>
    <t>LT KOL AIFALINDA BTE JAMALUDIN</t>
  </si>
  <si>
    <t>LT KOL YOONG  SOON  KIONG</t>
  </si>
  <si>
    <t>MEJ NANI ARYANTI BTE MD HANIF</t>
  </si>
  <si>
    <t>MEJ ASRUL BIN BAHAR</t>
  </si>
  <si>
    <t>MEJ YUSRI BIN DARUS</t>
  </si>
  <si>
    <t>MEJ ROSMAZIA BINTI MUSTAPHA</t>
  </si>
  <si>
    <t>MEJ  JUNAINAH BTE MUIN</t>
  </si>
  <si>
    <t>MEJ MAHATHIR BIN DAUD</t>
  </si>
  <si>
    <t xml:space="preserve">MEJ HJ SHAHRIL BIN CHE SHAFIE </t>
  </si>
  <si>
    <t>MEJ NURHUDA BTE AMAT PUAD</t>
  </si>
  <si>
    <t>MEJ NORBAIZURA LIANI BTE MOHD ROZLAN</t>
  </si>
  <si>
    <t xml:space="preserve">MEJ HASMIZA BTE BAHAROM </t>
  </si>
  <si>
    <t>MEJ JUNITA ADLINA BTE HADLIN</t>
  </si>
  <si>
    <t>MEJ MUHAMAD FAZLY BIN MUSTAFA KAMAR</t>
  </si>
  <si>
    <t>MEJ HASNIZA BTE MUHAMMAD</t>
  </si>
  <si>
    <t>MEJ IQTIYANIE MARLITA BTE MOHD GANI</t>
  </si>
  <si>
    <t>MEJ MUHAMMAD HATIMTAI BIN BAHARUDIN</t>
  </si>
  <si>
    <t>MEJ NORAPIDAH BTE ABU BAKAR</t>
  </si>
  <si>
    <t>MEJ HARTINI BTE MD AMIN</t>
  </si>
  <si>
    <t>MEJ MOHAMMAD KHAIRUL SYAWAL BIN ABDUL KARIM</t>
  </si>
  <si>
    <t>MEJ MOHD FAKHRUL HADI BIN AHMAD SAMSURI</t>
  </si>
  <si>
    <t>MEJ SARAH NUR AISYAH KAY BINTI ABDULLAH</t>
  </si>
  <si>
    <t>MEJ AZRUL ANWAR BIN SHAMSUL AMBIA</t>
  </si>
  <si>
    <t>MEJ MOHD FADHLIE BIN ZAKARIA</t>
  </si>
  <si>
    <t>MEJ KHAIRUL ANUAR BIN ASISPOL BAHAR</t>
  </si>
  <si>
    <t>MEJ AHMAD LUFTI BIN BABA</t>
  </si>
  <si>
    <t>MEJ HANAN BINTI BAHAROM</t>
  </si>
  <si>
    <t>MEJ MOHD ABD HAFIZ BIN MOHD NAZRI</t>
  </si>
  <si>
    <t>MEJ UMMI KALSOM BTE MOHD LIAS</t>
  </si>
  <si>
    <t>MEJ MOHD ISMAIL BIN MAT YAHAYA</t>
  </si>
  <si>
    <t>MEJ MOHD WAIZ LUTFI BIN ABD LATIF</t>
  </si>
  <si>
    <t>MEJ MOHAMMAD NAJIB BIN ZAKARIA</t>
  </si>
  <si>
    <t xml:space="preserve">MEJ SHAHIERA BTE JALALUDIN </t>
  </si>
  <si>
    <t>MEJ NURSHUHADA BTE MOHTAR</t>
  </si>
  <si>
    <t xml:space="preserve">MEJ NOR AZREEN BTE ZAKARIA </t>
  </si>
  <si>
    <t xml:space="preserve">MEJ SAFRI BIN USMAN </t>
  </si>
  <si>
    <t>MEJ NURRUL ASYIKIN BINTI ZAINAL</t>
  </si>
  <si>
    <t xml:space="preserve">MEJ MOHD HERMAN BIN KAMARUDIN </t>
  </si>
  <si>
    <t xml:space="preserve">MEJ MUHAMAD AMIRUL SHAFIQ BIN MOHD AMIN </t>
  </si>
  <si>
    <t>MEJ Ts. FIKRI HANIS BIN MD BADARUDIN</t>
  </si>
  <si>
    <t>MEJ Ts. MUHAMMAD AIZAT BIN MUHAMMAD SUHAIMI</t>
  </si>
  <si>
    <t>MEJ KHAIRUL ANWAR BIN ISMAIL</t>
  </si>
  <si>
    <t xml:space="preserve">MEJ ABDUL RAZAK BIN IBRAHIM </t>
  </si>
  <si>
    <t>MEJ MOHD AZMIL BIN BASIR</t>
  </si>
  <si>
    <t>MEJ NUR DIYANA BTE CHE OMAR</t>
  </si>
  <si>
    <t>MEJ SUNAINI BINTI MOHD ALI</t>
  </si>
  <si>
    <t>MEJ NUR IZZATI BINTI ZAIDEL</t>
  </si>
  <si>
    <t xml:space="preserve">MEJ AMIR HASRUL BIN HASIM </t>
  </si>
  <si>
    <t>MEJ NUR AMERUL BIN ALIAS</t>
  </si>
  <si>
    <t xml:space="preserve">MEJ HASRULLIZA BTE ABD HALIM </t>
  </si>
  <si>
    <t xml:space="preserve">MEJ MOHAMAD SHAFIQ BIN RAMZAN </t>
  </si>
  <si>
    <t xml:space="preserve">MEJ ZUNAIRAH BTE ISMAIL </t>
  </si>
  <si>
    <t xml:space="preserve">MEJ ABDUL HAKIM BIN BUANG </t>
  </si>
  <si>
    <t xml:space="preserve">MEJ MOHD FAREEZ BIN SHAFIE </t>
  </si>
  <si>
    <t>MEJ ISMAH RASYIDAH BINTI MANSOR</t>
  </si>
  <si>
    <t>MEJ NOOR ERMA SUZIANA BTE ABD MALIK</t>
  </si>
  <si>
    <t>MEJ NOR AYUNI BINTI BAHARON</t>
  </si>
  <si>
    <t>MEJ MUHAMMAD ZAMIR BIN ROSLAN</t>
  </si>
  <si>
    <t>MEJ NOORKHALEEDA BINTI ABDUL HADI</t>
  </si>
  <si>
    <t>MEJ ADAM BIN YUSOH</t>
  </si>
  <si>
    <t>KAPT MARIAM BINTI NAAM</t>
  </si>
  <si>
    <t>KAPT SANUSI BIN MOHD NOOR</t>
  </si>
  <si>
    <t>KAPT AZZRUL HAFIEZ BIN HUSIN</t>
  </si>
  <si>
    <t>KAPT NUR SHYIDA BINTI SAZALI</t>
  </si>
  <si>
    <t>KAPT ALIZA BTE HJ ABD RAHMAN</t>
  </si>
  <si>
    <t>KAPT MOHD IRWANDY BIN ABDUL RAHIM</t>
  </si>
  <si>
    <t>KAPT MALINA BTE MOHAMAD ROSBI</t>
  </si>
  <si>
    <t>KAPT KOSHILA A/P APPLANNAIDOO</t>
  </si>
  <si>
    <t>KAPT NUR SHARMIZA BINTI NAZURI</t>
  </si>
  <si>
    <t>KAPT RAJADURAI A/L PALANIAPPEN</t>
  </si>
  <si>
    <t>KAPT NABILAH BINTI ABDULLAH</t>
  </si>
  <si>
    <t>KAPT ASNIDAR BINTI MOHAMMAD SAID</t>
  </si>
  <si>
    <t>KAPT FATIN FARISYA BINTI SOBRI</t>
  </si>
  <si>
    <t>KAPT JENNY LUYAH ANAK SIEW</t>
  </si>
  <si>
    <t>KAPT NUHA NABIHAH BINTI AZAHARI</t>
  </si>
  <si>
    <t>KAPT NUR SYAFIZUANA AMIRA BINTI ZULKHIBRI</t>
  </si>
  <si>
    <t>KAPT NURUL HIDAYAH BINTI MUHAMAD FADZLI</t>
  </si>
  <si>
    <t>KAPT NUR AIN ASYIKIN BINTI KHAIRUNNAIM</t>
  </si>
  <si>
    <t xml:space="preserve">KAPT SYAMIER AFIQ BIN ZAINAL ABIDIN </t>
  </si>
  <si>
    <t xml:space="preserve">KAPT MUHAMAD SHAMIR BIN MOHD SALIM </t>
  </si>
  <si>
    <t>KAPT NORSYAIZA BINTI NOOR MOHD ALI</t>
  </si>
  <si>
    <t>KAPT NURUL FARAHIN BINTI ZAHARUDDIN</t>
  </si>
  <si>
    <t>KAPT ABU HATIM BIN ADNAN</t>
  </si>
  <si>
    <t xml:space="preserve">KAPT NUR FATIN FARHAH BINTI ABD WAHAB </t>
  </si>
  <si>
    <t>KAPT NUR HATIKA ANIS BINTI JAMIL</t>
  </si>
  <si>
    <t>KAPT SITI HALIDA BINTI KAMARUZAMAN</t>
  </si>
  <si>
    <t>KAPT NORAZLIZA BINTI MOHAMAD ROZALLI</t>
  </si>
  <si>
    <t>KAPT NOR SHAHIDA BINTI SHAHIDAN</t>
  </si>
  <si>
    <t>KAPT SITI AMYRA BINTI MD ZIBY</t>
  </si>
  <si>
    <t>KAPT NOOR AMIRAH BT AHMAD DAUD</t>
  </si>
  <si>
    <t>KAPT NORHITA BTE MOHD BHOHARI</t>
  </si>
  <si>
    <t>KAPT SITI NURHAFIZAH BINTI MOHAMAD NOH</t>
  </si>
  <si>
    <t>KAPT MOHD HAFIZUDDIN BIN OSMAN</t>
  </si>
  <si>
    <t>KAPT MOHAMMAD TAUFIK BIN KATIMAN</t>
  </si>
  <si>
    <t>KAPT MOHD AIMAN BIN CHE HASSAN</t>
  </si>
  <si>
    <t>KAPT MUHAMMAD HAFIZUDDIN BIN ABDUL RAZAK</t>
  </si>
  <si>
    <t>KAPT NUR ZAFIRAH BINTI HAMDAN</t>
  </si>
  <si>
    <t xml:space="preserve">KAPT NOOR SAFIKA BINTI SHAWAL </t>
  </si>
  <si>
    <t>KAPT NURUL MARDHIAH BINTI A. RAZAK</t>
  </si>
  <si>
    <t xml:space="preserve">KAPT NURUL ATIKAH BINTI JAMALLUDDIN </t>
  </si>
  <si>
    <t>KAPT KHAIRIL HISHAM BIN AZHAR</t>
  </si>
  <si>
    <t>KAPT KARMALITA BINTI LAGANI</t>
  </si>
  <si>
    <t>KAPT NURUL SYIFA BINTI OTHMAN</t>
  </si>
  <si>
    <t>KAPT WAN AHMAD UZAIR BIN WAN KAMARUZAMAN</t>
  </si>
  <si>
    <t xml:space="preserve">KAPT PAVITRAN NAIDU A/L GANASEN             </t>
  </si>
  <si>
    <t>KAPT AHMAD ABRAR BIN ADAM MALIK</t>
  </si>
  <si>
    <t xml:space="preserve">LT INTAN NURASMIDA BINTI MOHD KHAIRI </t>
  </si>
  <si>
    <t>LT MUHAMMAD HAFIZUL ASLAM BIN ZURI</t>
  </si>
  <si>
    <t>LT  NADIRAH BINTI ABDUL HADI</t>
  </si>
  <si>
    <t>LT MATIN SAFARIN BHATIA BIN MOHAMAD SHAIFUL</t>
  </si>
  <si>
    <t xml:space="preserve">LT MOHAMAD SHAFIZUDDIN BIN MOHD ZANGI </t>
  </si>
  <si>
    <t xml:space="preserve">LT MUHAMMAD LOKMAN HAKIM BIN AHMAD </t>
  </si>
  <si>
    <t>LT GUSNAWATI BINTI AMBOLALA</t>
  </si>
  <si>
    <t xml:space="preserve">LT  ABDUL QAYYUM BIN MUSTAFA </t>
  </si>
  <si>
    <t>LT NOR SHAFARA BINTI WASLI</t>
  </si>
  <si>
    <t>LT AHMAD HAZIM BIN RAMLI</t>
  </si>
  <si>
    <t>LT MUHAMMAD ASYRAAF BIN AZLEE</t>
  </si>
  <si>
    <t xml:space="preserve">LT NUR AQILAH BINTI MAZLAN </t>
  </si>
  <si>
    <t xml:space="preserve">LT AMY NUR SYAZHIDA BINTI JAMIRAN </t>
  </si>
  <si>
    <t>LT MOHAMMAD FAUZAN BIN AZHAR</t>
  </si>
  <si>
    <t>LT MUHAMMAD QIWAMUDDIN BIN KHAIRUL ANUAR</t>
  </si>
  <si>
    <t>LT TUAN MOHAMMAD HAFIZ BIN TUAN HASSAN</t>
  </si>
  <si>
    <t>LT  NURUL FILZAH BINTI MOHD FAUZI</t>
  </si>
  <si>
    <t>LT TWESHAA DEVI A/P JELVARAJAH</t>
  </si>
  <si>
    <t>LT  CLODEAN HITCHER NYALONG ANAK NOEL</t>
  </si>
  <si>
    <t xml:space="preserve">LT AHMAD DA’IYAN BIN AHMAD NIZAM </t>
  </si>
  <si>
    <t>LT NORSHAZMIRA BINTI MOHD SAFRI</t>
  </si>
  <si>
    <t>LT AHMAD ZHAFRI ZAL HASMI BIN  MOHD HASHIM</t>
  </si>
  <si>
    <t xml:space="preserve">LT UMMU HAZIRA HANI BINTI JOHAN </t>
  </si>
  <si>
    <t xml:space="preserve">LT NURUL ADILAH BT ABD MALEK  </t>
  </si>
  <si>
    <t>LT NURUL FAZILLAH BINTI JUSEEF</t>
  </si>
  <si>
    <t>LT FAUZIAH BINTI ALI AHMAD</t>
  </si>
  <si>
    <t>LT NUR BADRISHA BINTI MOHD SAMSUDIN</t>
  </si>
  <si>
    <t>LT WAN NURDINI BINTI MIOR ABD HALIM</t>
  </si>
  <si>
    <t>LT NUR HIDAYAH BINTI ANUAR</t>
  </si>
  <si>
    <t xml:space="preserve">LT NUR AMALINA BINTI MOHD SAFI </t>
  </si>
  <si>
    <t>LT NURUL SHUHADAH BINTI RAHMAT</t>
  </si>
  <si>
    <t>LT NURSYUHADAH BINTI ZULFAKUR</t>
  </si>
  <si>
    <t>LT UMMI FARHANA BINTI KAMARUL ZAMAN</t>
  </si>
  <si>
    <t>LT LILY NORHSHAHKIRA BINTI MOHD HIDIR</t>
  </si>
  <si>
    <t>LT RADIN IKHMAL BIN RADIN SAKTI</t>
  </si>
  <si>
    <t xml:space="preserve">LT M ANIS RADHIAH BINTI MUHD RADZI </t>
  </si>
  <si>
    <t xml:space="preserve">LT M MIRZA BINTI MOHD FAUZI </t>
  </si>
  <si>
    <t xml:space="preserve">LT M MOHAMAD AZRUL BIN FADZIL </t>
  </si>
  <si>
    <t xml:space="preserve">LT M MUJDRIA BINTI RUSTAN </t>
  </si>
  <si>
    <t xml:space="preserve">LT M SITI AISYAH ANISH BINTI ROSLI </t>
  </si>
  <si>
    <t>P3004463</t>
  </si>
  <si>
    <t>A3004463</t>
  </si>
  <si>
    <t>P3005059</t>
  </si>
  <si>
    <t>P3005715</t>
  </si>
  <si>
    <t>P3007255</t>
  </si>
  <si>
    <t>P3006156</t>
  </si>
  <si>
    <t>P3006696</t>
  </si>
  <si>
    <t>P3006393</t>
  </si>
  <si>
    <t>P3007529</t>
  </si>
  <si>
    <t>P3009693</t>
  </si>
  <si>
    <t>P3008035</t>
  </si>
  <si>
    <t>PN AZRINA BINTI MOHAMAD HEPNI</t>
  </si>
  <si>
    <t>P3010188</t>
  </si>
  <si>
    <t>P3010344</t>
  </si>
  <si>
    <t>PN RUSILA BINTI ABDULLAH</t>
  </si>
  <si>
    <t>P3010205</t>
  </si>
  <si>
    <t>MEJ SHAHFIZAL BIN KHAIRUDIN</t>
  </si>
  <si>
    <t>P3007228</t>
  </si>
  <si>
    <t>P3008083</t>
  </si>
  <si>
    <t>P3009710</t>
  </si>
  <si>
    <t>P3007997</t>
  </si>
  <si>
    <t>P3006374</t>
  </si>
  <si>
    <t>PN SARIMAH BUNTI SAAD</t>
  </si>
  <si>
    <t>P3009495</t>
  </si>
  <si>
    <t>P3008508</t>
  </si>
  <si>
    <t>P3009729</t>
  </si>
  <si>
    <t>P3011296</t>
  </si>
  <si>
    <t>MEJ WAN MOHD AKRAM BIN HJ SAIDON</t>
  </si>
  <si>
    <t>P3013629</t>
  </si>
  <si>
    <t>P3012023</t>
  </si>
  <si>
    <t>P3010394</t>
  </si>
  <si>
    <t>P3011636</t>
  </si>
  <si>
    <t>P3011701</t>
  </si>
  <si>
    <t>MEJ MAIZATU LIYANA BINTI MOHD ZAKIDIN</t>
  </si>
  <si>
    <t>P3013642</t>
  </si>
  <si>
    <t>P3011401</t>
  </si>
  <si>
    <t>P3012281</t>
  </si>
  <si>
    <t>P7517972</t>
  </si>
  <si>
    <t>MEJ MOHD FAUDZI BIN CHE HASHIM</t>
  </si>
  <si>
    <t>P3011804</t>
  </si>
  <si>
    <t>P3013665</t>
  </si>
  <si>
    <t>P3009166</t>
  </si>
  <si>
    <t>P3014790</t>
  </si>
  <si>
    <t>LT SITI NURAISYAH BINTI MD SIDEK</t>
  </si>
  <si>
    <t>P7526905</t>
  </si>
  <si>
    <t>P7526077</t>
  </si>
  <si>
    <t>MEJ NURAKMAL BIN HASSAN</t>
  </si>
  <si>
    <t>P3007758</t>
  </si>
  <si>
    <t>P3015491</t>
  </si>
  <si>
    <t>P3014863</t>
  </si>
  <si>
    <t>P3015481</t>
  </si>
  <si>
    <t xml:space="preserve">EN MUHAMMAD ARIF BIN ROSLI </t>
  </si>
  <si>
    <t>P7520874</t>
  </si>
  <si>
    <t>P7526808</t>
  </si>
  <si>
    <t>PN MASTURA BINTI ROSLI</t>
  </si>
  <si>
    <t>P3014988</t>
  </si>
  <si>
    <t>KAPT AHMAD ZAIM ADAM BIN CHAZALI</t>
  </si>
  <si>
    <t>P7531062</t>
  </si>
  <si>
    <t>P7529592</t>
  </si>
  <si>
    <t>P3015380</t>
  </si>
  <si>
    <t>P3017085</t>
  </si>
  <si>
    <t>P7536256</t>
  </si>
  <si>
    <t>P3015301</t>
  </si>
  <si>
    <t>EN FAIZZIE ZAINUDDIN</t>
  </si>
  <si>
    <t>P3016791</t>
  </si>
  <si>
    <t>P3016879</t>
  </si>
  <si>
    <t>P3016936</t>
  </si>
  <si>
    <t xml:space="preserve">PN AINNURNADHIRAH BINTI ABDUL SAMAD </t>
  </si>
  <si>
    <t>P3016032</t>
  </si>
  <si>
    <t>P3016038</t>
  </si>
  <si>
    <t>P3017525</t>
  </si>
  <si>
    <t>P3017090</t>
  </si>
  <si>
    <t>P7537019</t>
  </si>
  <si>
    <t>EN MOHD NASRUL BIN SAFUDIN</t>
  </si>
  <si>
    <t>P7536971</t>
  </si>
  <si>
    <t>P7537236</t>
  </si>
  <si>
    <t>P7536691</t>
  </si>
  <si>
    <t>P3016247</t>
  </si>
  <si>
    <t>P3017729</t>
  </si>
  <si>
    <t>P3017504</t>
  </si>
  <si>
    <t>P3017752</t>
  </si>
  <si>
    <t>P3017553</t>
  </si>
  <si>
    <t>PN SURIYANIE BINTI MUSSALAM</t>
  </si>
  <si>
    <t>P7539364</t>
  </si>
  <si>
    <t>P7538168</t>
  </si>
  <si>
    <t>P7538166</t>
  </si>
  <si>
    <t>P7537221</t>
  </si>
  <si>
    <t>P7541401</t>
  </si>
  <si>
    <t>P7539350</t>
  </si>
  <si>
    <t>P7540139</t>
  </si>
  <si>
    <t>P3017957</t>
  </si>
  <si>
    <t>P3017984</t>
  </si>
  <si>
    <t>P3017988</t>
  </si>
  <si>
    <t>P3018074</t>
  </si>
  <si>
    <t>P3018094</t>
  </si>
  <si>
    <t>NOTEN</t>
  </si>
  <si>
    <t>MEJA</t>
  </si>
  <si>
    <t xml:space="preserve">LT MOHAMMAD NOR SYAKIMIE BIN ABD AZIZ </t>
  </si>
  <si>
    <t>LO DATO'</t>
  </si>
  <si>
    <t>LO PENGARAH</t>
  </si>
  <si>
    <t>LO KOL PEN</t>
  </si>
  <si>
    <t>LO KOL OP</t>
  </si>
  <si>
    <t>LO KOL MUHSIN</t>
  </si>
  <si>
    <t>LO KOL AZIZAN</t>
  </si>
  <si>
    <t>LO SO1 TURUS</t>
  </si>
  <si>
    <t>LO WIFE DATO'</t>
  </si>
  <si>
    <t>LO WIFE PENGARAH</t>
  </si>
  <si>
    <t>LO WIFE KOL PEN</t>
  </si>
  <si>
    <t>LO WIFE KOL OP</t>
  </si>
  <si>
    <t>LO WIFE KOL MUHSIN</t>
  </si>
  <si>
    <t>LO WIFE KOL AZIZAN</t>
  </si>
  <si>
    <t>LO WIFE SO1 TURUS</t>
  </si>
  <si>
    <t>FL20</t>
  </si>
  <si>
    <t>FL19</t>
  </si>
  <si>
    <t>FL18</t>
  </si>
  <si>
    <t>FL17</t>
  </si>
  <si>
    <t>FL16</t>
  </si>
  <si>
    <t>FL15</t>
  </si>
  <si>
    <t>FL14</t>
  </si>
  <si>
    <t>FL13</t>
  </si>
  <si>
    <t>FL12</t>
  </si>
  <si>
    <t>FL11</t>
  </si>
  <si>
    <t>FL10</t>
  </si>
  <si>
    <t>FL9</t>
  </si>
  <si>
    <t>FL8</t>
  </si>
  <si>
    <t>FL7</t>
  </si>
  <si>
    <t>FL6</t>
  </si>
  <si>
    <t>FL5</t>
  </si>
  <si>
    <t>FL4</t>
  </si>
  <si>
    <t>FL3</t>
  </si>
  <si>
    <t>FL2</t>
  </si>
  <si>
    <t>FL1</t>
  </si>
  <si>
    <t>FR20</t>
  </si>
  <si>
    <t>FR19</t>
  </si>
  <si>
    <t>FR18</t>
  </si>
  <si>
    <t>FR17</t>
  </si>
  <si>
    <t>FR16</t>
  </si>
  <si>
    <t>FR15</t>
  </si>
  <si>
    <t>FR14</t>
  </si>
  <si>
    <t>FR13</t>
  </si>
  <si>
    <t>FR12</t>
  </si>
  <si>
    <t>FR11</t>
  </si>
  <si>
    <t>FR10</t>
  </si>
  <si>
    <t>FR9</t>
  </si>
  <si>
    <t>FR8</t>
  </si>
  <si>
    <t>FR7</t>
  </si>
  <si>
    <t>FR6</t>
  </si>
  <si>
    <t>FR5</t>
  </si>
  <si>
    <t>FR4</t>
  </si>
  <si>
    <t>FR3</t>
  </si>
  <si>
    <t>FR2</t>
  </si>
  <si>
    <t>FR1</t>
  </si>
  <si>
    <t>EL20</t>
  </si>
  <si>
    <t>EL19</t>
  </si>
  <si>
    <t>EL18</t>
  </si>
  <si>
    <t>EL17</t>
  </si>
  <si>
    <t>EL16</t>
  </si>
  <si>
    <t>EL15</t>
  </si>
  <si>
    <t>EL14</t>
  </si>
  <si>
    <t>EL13</t>
  </si>
  <si>
    <t>EL12</t>
  </si>
  <si>
    <t>EL11</t>
  </si>
  <si>
    <t>EL10</t>
  </si>
  <si>
    <t>EL9</t>
  </si>
  <si>
    <t>EL8</t>
  </si>
  <si>
    <t>EL7</t>
  </si>
  <si>
    <t>EL6</t>
  </si>
  <si>
    <t>EL5</t>
  </si>
  <si>
    <t>EL4</t>
  </si>
  <si>
    <t>EL3</t>
  </si>
  <si>
    <t>EL2</t>
  </si>
  <si>
    <t>EL1</t>
  </si>
  <si>
    <t>ER20</t>
  </si>
  <si>
    <t>ER19</t>
  </si>
  <si>
    <t>ER18</t>
  </si>
  <si>
    <t>ER17</t>
  </si>
  <si>
    <t>ER16</t>
  </si>
  <si>
    <t>ER15</t>
  </si>
  <si>
    <t>ER14</t>
  </si>
  <si>
    <t>ER13</t>
  </si>
  <si>
    <t>ER12</t>
  </si>
  <si>
    <t>ER11</t>
  </si>
  <si>
    <t>ER10</t>
  </si>
  <si>
    <t>ER9</t>
  </si>
  <si>
    <t>ER8</t>
  </si>
  <si>
    <t>ER7</t>
  </si>
  <si>
    <t>ER6</t>
  </si>
  <si>
    <t>ER5</t>
  </si>
  <si>
    <t>ER4</t>
  </si>
  <si>
    <t>ER3</t>
  </si>
  <si>
    <t>ER2</t>
  </si>
  <si>
    <t>ER1</t>
  </si>
  <si>
    <t>DL20</t>
  </si>
  <si>
    <t>DL19</t>
  </si>
  <si>
    <t>DL18</t>
  </si>
  <si>
    <t>DL17</t>
  </si>
  <si>
    <t>DL16</t>
  </si>
  <si>
    <t>DL15</t>
  </si>
  <si>
    <t>DL14</t>
  </si>
  <si>
    <t>DL13</t>
  </si>
  <si>
    <t>DL12</t>
  </si>
  <si>
    <t>DL11</t>
  </si>
  <si>
    <t>DL10</t>
  </si>
  <si>
    <t>DL9</t>
  </si>
  <si>
    <t>DL8</t>
  </si>
  <si>
    <t>DL7</t>
  </si>
  <si>
    <t>DL6</t>
  </si>
  <si>
    <t>DL5</t>
  </si>
  <si>
    <t>DL4</t>
  </si>
  <si>
    <t>DL3</t>
  </si>
  <si>
    <t>DL2</t>
  </si>
  <si>
    <t>DL1</t>
  </si>
  <si>
    <t>DR20</t>
  </si>
  <si>
    <t>DR19</t>
  </si>
  <si>
    <t>DR18</t>
  </si>
  <si>
    <t>DR17</t>
  </si>
  <si>
    <t>DR16</t>
  </si>
  <si>
    <t>DR15</t>
  </si>
  <si>
    <t>DR14</t>
  </si>
  <si>
    <t>DR13</t>
  </si>
  <si>
    <t>DR12</t>
  </si>
  <si>
    <t>DR11</t>
  </si>
  <si>
    <t>DR10</t>
  </si>
  <si>
    <t>DR9</t>
  </si>
  <si>
    <t>DR8</t>
  </si>
  <si>
    <t>DR7</t>
  </si>
  <si>
    <t>DR6</t>
  </si>
  <si>
    <t>DR5</t>
  </si>
  <si>
    <t>DR4</t>
  </si>
  <si>
    <t>DR3</t>
  </si>
  <si>
    <t>DR2</t>
  </si>
  <si>
    <t>DR1</t>
  </si>
  <si>
    <t>CL20</t>
  </si>
  <si>
    <t>CL19</t>
  </si>
  <si>
    <t>CL18</t>
  </si>
  <si>
    <t>CL17</t>
  </si>
  <si>
    <t>CL16</t>
  </si>
  <si>
    <t>CL15</t>
  </si>
  <si>
    <t>CL14</t>
  </si>
  <si>
    <t>CL13</t>
  </si>
  <si>
    <t>CL12</t>
  </si>
  <si>
    <t>CL11</t>
  </si>
  <si>
    <t>CL10</t>
  </si>
  <si>
    <t>CL9</t>
  </si>
  <si>
    <t>CL8</t>
  </si>
  <si>
    <t>CL7</t>
  </si>
  <si>
    <t>CL6</t>
  </si>
  <si>
    <t>CL5</t>
  </si>
  <si>
    <t>CL4</t>
  </si>
  <si>
    <t>CL3</t>
  </si>
  <si>
    <t>CL2</t>
  </si>
  <si>
    <t>CL1</t>
  </si>
  <si>
    <t>CR20</t>
  </si>
  <si>
    <t>CR19</t>
  </si>
  <si>
    <t>CR18</t>
  </si>
  <si>
    <t>CR17</t>
  </si>
  <si>
    <t>CR16</t>
  </si>
  <si>
    <t>CR15</t>
  </si>
  <si>
    <t>CR14</t>
  </si>
  <si>
    <t>CR13</t>
  </si>
  <si>
    <t>CR12</t>
  </si>
  <si>
    <t>CR11</t>
  </si>
  <si>
    <t>CR10</t>
  </si>
  <si>
    <t>CR9</t>
  </si>
  <si>
    <t>CR8</t>
  </si>
  <si>
    <t>CR7</t>
  </si>
  <si>
    <t>CR6</t>
  </si>
  <si>
    <t>CR5</t>
  </si>
  <si>
    <t>CR4</t>
  </si>
  <si>
    <t>CR3</t>
  </si>
  <si>
    <t>CR2</t>
  </si>
  <si>
    <t>CR1</t>
  </si>
  <si>
    <t>BL20</t>
  </si>
  <si>
    <t>BL19</t>
  </si>
  <si>
    <t>BL18</t>
  </si>
  <si>
    <t>BL17</t>
  </si>
  <si>
    <t>BL16</t>
  </si>
  <si>
    <t>BL15</t>
  </si>
  <si>
    <t>BL14</t>
  </si>
  <si>
    <t>BL13</t>
  </si>
  <si>
    <t>BL12</t>
  </si>
  <si>
    <t>BL11</t>
  </si>
  <si>
    <t>BL10</t>
  </si>
  <si>
    <t>BL9</t>
  </si>
  <si>
    <t>BL8</t>
  </si>
  <si>
    <t>BL7</t>
  </si>
  <si>
    <t>BL6</t>
  </si>
  <si>
    <t>BL5</t>
  </si>
  <si>
    <t>BL4</t>
  </si>
  <si>
    <t>BL3</t>
  </si>
  <si>
    <t>BL2</t>
  </si>
  <si>
    <t>BL1</t>
  </si>
  <si>
    <t>BR20</t>
  </si>
  <si>
    <t>BR19</t>
  </si>
  <si>
    <t>BR18</t>
  </si>
  <si>
    <t>BR17</t>
  </si>
  <si>
    <t>BR16</t>
  </si>
  <si>
    <t>BR15</t>
  </si>
  <si>
    <t>BR14</t>
  </si>
  <si>
    <t>BR13</t>
  </si>
  <si>
    <t>BR12</t>
  </si>
  <si>
    <t>BR11</t>
  </si>
  <si>
    <t>BR10</t>
  </si>
  <si>
    <t>BR9</t>
  </si>
  <si>
    <t>BR8</t>
  </si>
  <si>
    <t>BR7</t>
  </si>
  <si>
    <t>BR6</t>
  </si>
  <si>
    <t>BR5</t>
  </si>
  <si>
    <t>BR4</t>
  </si>
  <si>
    <t>BR3</t>
  </si>
  <si>
    <t>BR2</t>
  </si>
  <si>
    <t>BR1</t>
  </si>
  <si>
    <t>AL20</t>
  </si>
  <si>
    <t>AL19</t>
  </si>
  <si>
    <t>AL18</t>
  </si>
  <si>
    <t>AL17</t>
  </si>
  <si>
    <t>AL16</t>
  </si>
  <si>
    <t>AL15</t>
  </si>
  <si>
    <t>AL14</t>
  </si>
  <si>
    <t>AL13</t>
  </si>
  <si>
    <t>AL12</t>
  </si>
  <si>
    <t>AL11</t>
  </si>
  <si>
    <t>AL10</t>
  </si>
  <si>
    <t>AL9</t>
  </si>
  <si>
    <t>AL8</t>
  </si>
  <si>
    <t>AL7</t>
  </si>
  <si>
    <t>AL6</t>
  </si>
  <si>
    <t>AL5</t>
  </si>
  <si>
    <t>AL4</t>
  </si>
  <si>
    <t>AL3</t>
  </si>
  <si>
    <t>AL2</t>
  </si>
  <si>
    <t>AL1</t>
  </si>
  <si>
    <t>AR20</t>
  </si>
  <si>
    <t>AR19</t>
  </si>
  <si>
    <t>AR18</t>
  </si>
  <si>
    <t>AR17</t>
  </si>
  <si>
    <t>AR16</t>
  </si>
  <si>
    <t>AR15</t>
  </si>
  <si>
    <t>AR14</t>
  </si>
  <si>
    <t>AR13</t>
  </si>
  <si>
    <t>AR12</t>
  </si>
  <si>
    <t>AR11</t>
  </si>
  <si>
    <t>AR10</t>
  </si>
  <si>
    <t>AR9</t>
  </si>
  <si>
    <t>AR8</t>
  </si>
  <si>
    <t>AR7</t>
  </si>
  <si>
    <t>AR6</t>
  </si>
  <si>
    <t>AR5</t>
  </si>
  <si>
    <t>AR4</t>
  </si>
  <si>
    <t>AR3</t>
  </si>
  <si>
    <t>AR2</t>
  </si>
  <si>
    <t>AR1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</si>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</sst>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494A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18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 wrapText="1"/>
    </xf>
    <xf numFmtId="0" fontId="0" fillId="5" borderId="4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0" fillId="5" borderId="18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3" fillId="8" borderId="18" xfId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6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8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49" fontId="3" fillId="8" borderId="18" xfId="0" applyNumberFormat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/>
    </xf>
    <xf numFmtId="49" fontId="3" fillId="8" borderId="18" xfId="0" applyNumberFormat="1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 wrapText="1" shrinkToFit="1"/>
    </xf>
    <xf numFmtId="0" fontId="3" fillId="10" borderId="1" xfId="0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/>
    </xf>
    <xf numFmtId="0" fontId="3" fillId="10" borderId="18" xfId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6" xfId="0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left" vertical="center"/>
    </xf>
    <xf numFmtId="0" fontId="3" fillId="10" borderId="18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8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3" fillId="10" borderId="18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0" fontId="3" fillId="10" borderId="1" xfId="2" applyFont="1" applyFill="1" applyBorder="1" applyAlignment="1">
      <alignment vertical="center" wrapText="1"/>
    </xf>
    <xf numFmtId="49" fontId="3" fillId="10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1" xfId="0" applyBorder="1"/>
    <xf numFmtId="0" fontId="3" fillId="12" borderId="1" xfId="1" applyFont="1" applyFill="1" applyBorder="1" applyAlignment="1">
      <alignment horizontal="center" vertical="center" wrapText="1"/>
    </xf>
    <xf numFmtId="0" fontId="3" fillId="12" borderId="1" xfId="2" applyFont="1" applyFill="1" applyBorder="1" applyAlignment="1">
      <alignment horizontal="center" vertical="center"/>
    </xf>
    <xf numFmtId="0" fontId="3" fillId="12" borderId="4" xfId="2" applyFont="1" applyFill="1" applyBorder="1" applyAlignment="1">
      <alignment horizontal="center" vertical="center"/>
    </xf>
    <xf numFmtId="0" fontId="3" fillId="12" borderId="18" xfId="2" applyFont="1" applyFill="1" applyBorder="1" applyAlignment="1">
      <alignment horizontal="center" vertical="center"/>
    </xf>
    <xf numFmtId="0" fontId="3" fillId="12" borderId="11" xfId="2" applyFont="1" applyFill="1" applyBorder="1" applyAlignment="1">
      <alignment horizontal="center" vertical="center"/>
    </xf>
    <xf numFmtId="0" fontId="3" fillId="12" borderId="1" xfId="2" applyFont="1" applyFill="1" applyBorder="1" applyAlignment="1">
      <alignment vertical="center" wrapText="1"/>
    </xf>
    <xf numFmtId="0" fontId="3" fillId="12" borderId="26" xfId="2" applyFont="1" applyFill="1" applyBorder="1" applyAlignment="1">
      <alignment horizontal="left" vertical="center"/>
    </xf>
    <xf numFmtId="0" fontId="3" fillId="12" borderId="18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/>
    </xf>
    <xf numFmtId="0" fontId="3" fillId="8" borderId="4" xfId="2" applyFont="1" applyFill="1" applyBorder="1" applyAlignment="1">
      <alignment horizontal="center" vertical="center"/>
    </xf>
    <xf numFmtId="0" fontId="3" fillId="8" borderId="18" xfId="2" applyFont="1" applyFill="1" applyBorder="1" applyAlignment="1">
      <alignment horizontal="center" vertical="center"/>
    </xf>
    <xf numFmtId="0" fontId="3" fillId="8" borderId="11" xfId="2" applyFont="1" applyFill="1" applyBorder="1" applyAlignment="1">
      <alignment horizontal="center" vertical="center"/>
    </xf>
    <xf numFmtId="0" fontId="3" fillId="8" borderId="26" xfId="2" applyFont="1" applyFill="1" applyBorder="1" applyAlignment="1">
      <alignment horizontal="left" vertical="center"/>
    </xf>
    <xf numFmtId="0" fontId="4" fillId="8" borderId="18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/>
    </xf>
    <xf numFmtId="49" fontId="4" fillId="8" borderId="4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0" fillId="5" borderId="18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 wrapText="1"/>
    </xf>
    <xf numFmtId="0" fontId="0" fillId="5" borderId="1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5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5" borderId="23" xfId="1" applyFont="1" applyFill="1" applyBorder="1" applyAlignment="1">
      <alignment horizontal="center" vertical="center" wrapText="1"/>
    </xf>
    <xf numFmtId="0" fontId="6" fillId="5" borderId="12" xfId="1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8" fillId="11" borderId="30" xfId="0" applyFont="1" applyFill="1" applyBorder="1" applyAlignment="1">
      <alignment horizontal="center" vertical="center"/>
    </xf>
    <xf numFmtId="0" fontId="0" fillId="5" borderId="26" xfId="1" applyFont="1" applyFill="1" applyBorder="1" applyAlignment="1">
      <alignment horizontal="center" vertical="center" wrapText="1"/>
    </xf>
    <xf numFmtId="0" fontId="0" fillId="5" borderId="14" xfId="1" applyFont="1" applyFill="1" applyBorder="1" applyAlignment="1">
      <alignment horizontal="center" vertical="center" wrapText="1"/>
    </xf>
    <xf numFmtId="0" fontId="0" fillId="5" borderId="2" xfId="1" applyFont="1" applyFill="1" applyBorder="1" applyAlignment="1">
      <alignment horizontal="center" vertical="center" wrapText="1"/>
    </xf>
    <xf numFmtId="0" fontId="3" fillId="12" borderId="9" xfId="1" applyFont="1" applyFill="1" applyBorder="1" applyAlignment="1">
      <alignment horizontal="left" vertical="center" wrapText="1"/>
    </xf>
    <xf numFmtId="0" fontId="3" fillId="12" borderId="10" xfId="1" applyFont="1" applyFill="1" applyBorder="1" applyAlignment="1">
      <alignment horizontal="left" vertical="center" wrapText="1"/>
    </xf>
    <xf numFmtId="0" fontId="3" fillId="12" borderId="8" xfId="1" applyFont="1" applyFill="1" applyBorder="1" applyAlignment="1">
      <alignment horizontal="left" vertical="center" wrapText="1"/>
    </xf>
    <xf numFmtId="0" fontId="3" fillId="12" borderId="45" xfId="1" applyFont="1" applyFill="1" applyBorder="1" applyAlignment="1">
      <alignment horizontal="left" vertical="center" wrapText="1"/>
    </xf>
    <xf numFmtId="0" fontId="3" fillId="12" borderId="0" xfId="1" applyFont="1" applyFill="1" applyAlignment="1">
      <alignment horizontal="left" vertical="center" wrapText="1"/>
    </xf>
    <xf numFmtId="0" fontId="3" fillId="12" borderId="38" xfId="1" applyFont="1" applyFill="1" applyBorder="1" applyAlignment="1">
      <alignment horizontal="left" vertical="center" wrapText="1"/>
    </xf>
    <xf numFmtId="0" fontId="3" fillId="12" borderId="15" xfId="1" applyFont="1" applyFill="1" applyBorder="1" applyAlignment="1">
      <alignment horizontal="left" vertical="center" wrapText="1"/>
    </xf>
    <xf numFmtId="0" fontId="3" fillId="12" borderId="3" xfId="1" applyFont="1" applyFill="1" applyBorder="1" applyAlignment="1">
      <alignment horizontal="left" vertical="center" wrapText="1"/>
    </xf>
    <xf numFmtId="0" fontId="3" fillId="12" borderId="16" xfId="1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45" xfId="0" applyFont="1" applyFill="1" applyBorder="1" applyAlignment="1">
      <alignment horizontal="center" vertical="center" wrapText="1"/>
    </xf>
    <xf numFmtId="0" fontId="3" fillId="12" borderId="38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14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18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494A2"/>
      <color rgb="FF66FF66"/>
      <color rgb="FFF6A8B3"/>
      <color rgb="FFF7B7C0"/>
      <color rgb="FFFFE699"/>
      <color rgb="FFEC4A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3231-5D91-4E10-A21E-C55A3A2CAF60}">
  <sheetPr>
    <tabColor theme="9"/>
    <pageSetUpPr fitToPage="1"/>
  </sheetPr>
  <dimension ref="A2:P15"/>
  <sheetViews>
    <sheetView zoomScale="85" zoomScaleNormal="85" zoomScaleSheetLayoutView="2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9.109375" defaultRowHeight="14.4" x14ac:dyDescent="0.25"/>
  <cols>
    <col min="1" max="1" width="10.33203125" style="2" customWidth="1"/>
    <col min="2" max="2" width="41.6640625" style="1" customWidth="1"/>
    <col min="3" max="3" width="20.6640625" style="1" customWidth="1"/>
    <col min="4" max="5" width="18" style="1" customWidth="1"/>
    <col min="6" max="6" width="15.6640625" style="1" customWidth="1"/>
    <col min="7" max="8" width="15.6640625" style="17" customWidth="1"/>
    <col min="9" max="11" width="16" style="2" customWidth="1"/>
    <col min="12" max="12" width="27.44140625" style="3" customWidth="1"/>
    <col min="13" max="13" width="8.5546875" style="16" bestFit="1" customWidth="1"/>
    <col min="14" max="14" width="10.5546875" style="16" bestFit="1" customWidth="1"/>
    <col min="15" max="15" width="7.5546875" style="16" customWidth="1"/>
    <col min="16" max="16" width="28.44140625" style="7" customWidth="1"/>
    <col min="17" max="16384" width="9.109375" style="1"/>
  </cols>
  <sheetData>
    <row r="2" spans="1:16" ht="25.8" x14ac:dyDescent="0.25">
      <c r="A2" s="189" t="s">
        <v>429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4" spans="1:16" s="22" customFormat="1" ht="23.4" x14ac:dyDescent="0.25">
      <c r="A4" s="182" t="s">
        <v>430</v>
      </c>
      <c r="B4" s="184" t="s">
        <v>431</v>
      </c>
      <c r="C4" s="190" t="s">
        <v>432</v>
      </c>
      <c r="D4" s="191"/>
      <c r="E4" s="192"/>
      <c r="F4" s="193" t="s">
        <v>434</v>
      </c>
      <c r="G4" s="193"/>
      <c r="H4" s="193"/>
      <c r="I4" s="194" t="s">
        <v>433</v>
      </c>
      <c r="J4" s="196" t="s">
        <v>443</v>
      </c>
      <c r="K4" s="197"/>
      <c r="L4" s="20"/>
      <c r="M4" s="19"/>
      <c r="N4" s="19"/>
      <c r="O4" s="19"/>
      <c r="P4" s="21"/>
    </row>
    <row r="5" spans="1:16" s="22" customFormat="1" ht="46.8" x14ac:dyDescent="0.25">
      <c r="A5" s="183"/>
      <c r="B5" s="185"/>
      <c r="C5" s="34" t="s">
        <v>435</v>
      </c>
      <c r="D5" s="36" t="s">
        <v>436</v>
      </c>
      <c r="E5" s="45" t="s">
        <v>448</v>
      </c>
      <c r="F5" s="23" t="s">
        <v>437</v>
      </c>
      <c r="G5" s="24" t="s">
        <v>438</v>
      </c>
      <c r="H5" s="139" t="s">
        <v>439</v>
      </c>
      <c r="I5" s="195"/>
      <c r="J5" s="23" t="s">
        <v>444</v>
      </c>
      <c r="K5" s="24" t="s">
        <v>445</v>
      </c>
      <c r="L5" s="20"/>
      <c r="M5" s="19"/>
      <c r="N5" s="19"/>
      <c r="O5" s="19"/>
      <c r="P5" s="21"/>
    </row>
    <row r="6" spans="1:16" s="22" customFormat="1" ht="21.75" customHeight="1" x14ac:dyDescent="0.25">
      <c r="A6" s="24" t="s">
        <v>254</v>
      </c>
      <c r="B6" s="18" t="s">
        <v>253</v>
      </c>
      <c r="C6" s="35" t="s">
        <v>252</v>
      </c>
      <c r="D6" s="23" t="s">
        <v>251</v>
      </c>
      <c r="E6" s="25" t="s">
        <v>281</v>
      </c>
      <c r="F6" s="23" t="s">
        <v>250</v>
      </c>
      <c r="G6" s="18" t="s">
        <v>249</v>
      </c>
      <c r="H6" s="139" t="s">
        <v>248</v>
      </c>
      <c r="I6" s="35" t="s">
        <v>246</v>
      </c>
      <c r="J6" s="23" t="s">
        <v>245</v>
      </c>
      <c r="K6" s="24" t="s">
        <v>284</v>
      </c>
      <c r="L6" s="20"/>
      <c r="M6" s="19"/>
      <c r="N6" s="19"/>
      <c r="O6" s="19"/>
      <c r="P6" s="21"/>
    </row>
    <row r="7" spans="1:16" s="22" customFormat="1" ht="60" customHeight="1" x14ac:dyDescent="0.25">
      <c r="A7" s="26">
        <v>1</v>
      </c>
      <c r="B7" s="27" t="s">
        <v>440</v>
      </c>
      <c r="C7" s="44">
        <v>172</v>
      </c>
      <c r="D7" s="40">
        <v>67</v>
      </c>
      <c r="E7" s="186">
        <v>0</v>
      </c>
      <c r="F7" s="28">
        <v>41</v>
      </c>
      <c r="G7" s="28">
        <v>85</v>
      </c>
      <c r="H7" s="140">
        <v>46</v>
      </c>
      <c r="I7" s="141">
        <f>SUM(F7:H7)</f>
        <v>172</v>
      </c>
      <c r="J7" s="33">
        <v>81</v>
      </c>
      <c r="K7" s="32">
        <v>91</v>
      </c>
      <c r="L7" s="20"/>
      <c r="M7" s="19"/>
      <c r="N7" s="19"/>
      <c r="O7" s="19"/>
      <c r="P7" s="21"/>
    </row>
    <row r="8" spans="1:16" s="22" customFormat="1" ht="60" customHeight="1" x14ac:dyDescent="0.25">
      <c r="A8" s="29">
        <v>2</v>
      </c>
      <c r="B8" s="30" t="s">
        <v>441</v>
      </c>
      <c r="C8" s="44">
        <v>77</v>
      </c>
      <c r="D8" s="41">
        <v>93</v>
      </c>
      <c r="E8" s="187"/>
      <c r="F8" s="131">
        <v>20</v>
      </c>
      <c r="G8" s="126">
        <v>30</v>
      </c>
      <c r="H8" s="142">
        <v>27</v>
      </c>
      <c r="I8" s="141">
        <f>SUM(F8:H8)</f>
        <v>77</v>
      </c>
      <c r="J8" s="129">
        <v>34</v>
      </c>
      <c r="K8" s="127">
        <v>43</v>
      </c>
      <c r="L8" s="20"/>
      <c r="M8" s="19"/>
      <c r="N8" s="19"/>
      <c r="O8" s="19"/>
      <c r="P8" s="21"/>
    </row>
    <row r="9" spans="1:16" s="22" customFormat="1" ht="60" customHeight="1" thickBot="1" x14ac:dyDescent="0.3">
      <c r="A9" s="135">
        <v>3</v>
      </c>
      <c r="B9" s="136" t="s">
        <v>602</v>
      </c>
      <c r="C9" s="128">
        <v>5</v>
      </c>
      <c r="D9" s="137">
        <f>-E14</f>
        <v>0</v>
      </c>
      <c r="E9" s="188"/>
      <c r="F9" s="51">
        <v>1</v>
      </c>
      <c r="G9" s="135">
        <v>3</v>
      </c>
      <c r="H9" s="143">
        <v>1</v>
      </c>
      <c r="I9" s="144">
        <f>SUM(F9:H9)</f>
        <v>5</v>
      </c>
      <c r="J9" s="52">
        <v>3</v>
      </c>
      <c r="K9" s="53">
        <v>2</v>
      </c>
      <c r="L9" s="20"/>
      <c r="M9" s="19"/>
      <c r="N9" s="19"/>
      <c r="O9" s="19"/>
      <c r="P9" s="21"/>
    </row>
    <row r="10" spans="1:16" s="22" customFormat="1" ht="34.5" customHeight="1" thickTop="1" thickBot="1" x14ac:dyDescent="0.3">
      <c r="A10" s="181" t="s">
        <v>442</v>
      </c>
      <c r="B10" s="181"/>
      <c r="C10" s="42">
        <f>SUM(C7:C9)</f>
        <v>254</v>
      </c>
      <c r="D10" s="43">
        <f>SUM(D7:D9)</f>
        <v>160</v>
      </c>
      <c r="E10" s="133">
        <f>SUM(E7)</f>
        <v>0</v>
      </c>
      <c r="F10" s="132">
        <f t="shared" ref="F10:K10" si="0">SUM(F7:F9)</f>
        <v>62</v>
      </c>
      <c r="G10" s="134">
        <f t="shared" si="0"/>
        <v>118</v>
      </c>
      <c r="H10" s="138">
        <f t="shared" si="0"/>
        <v>74</v>
      </c>
      <c r="I10" s="42">
        <f t="shared" si="0"/>
        <v>254</v>
      </c>
      <c r="J10" s="38">
        <f t="shared" si="0"/>
        <v>118</v>
      </c>
      <c r="K10" s="130">
        <f t="shared" si="0"/>
        <v>136</v>
      </c>
      <c r="L10" s="20"/>
      <c r="M10" s="19"/>
      <c r="N10" s="19"/>
      <c r="O10" s="19"/>
      <c r="P10" s="21"/>
    </row>
    <row r="11" spans="1:16" ht="15" thickTop="1" x14ac:dyDescent="0.25"/>
    <row r="13" spans="1:16" x14ac:dyDescent="0.25">
      <c r="B13" s="31"/>
    </row>
    <row r="14" spans="1:16" x14ac:dyDescent="0.25">
      <c r="B14" s="31"/>
    </row>
    <row r="15" spans="1:16" x14ac:dyDescent="0.25">
      <c r="B15" s="31"/>
    </row>
  </sheetData>
  <mergeCells count="9">
    <mergeCell ref="A10:B10"/>
    <mergeCell ref="A4:A5"/>
    <mergeCell ref="B4:B5"/>
    <mergeCell ref="E7:E9"/>
    <mergeCell ref="A2:K2"/>
    <mergeCell ref="C4:E4"/>
    <mergeCell ref="F4:H4"/>
    <mergeCell ref="I4:I5"/>
    <mergeCell ref="J4:K4"/>
  </mergeCells>
  <pageMargins left="0.7" right="0.7" top="0.75" bottom="0.75" header="0.3" footer="0.3"/>
  <pageSetup paperSize="9" scale="65" orientation="landscape" r:id="rId1"/>
  <headerFooter>
    <oddFooter>&amp;C&amp;P</oddFooter>
  </headerFooter>
  <colBreaks count="1" manualBreakCount="1">
    <brk id="11" max="7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2E6C-3CB8-428C-A37A-07CF8F30E396}">
  <sheetPr>
    <tabColor rgb="FFFFFF00"/>
  </sheetPr>
  <dimension ref="A1:S185"/>
  <sheetViews>
    <sheetView topLeftCell="D167" zoomScale="70" zoomScaleNormal="70" workbookViewId="0">
      <selection activeCell="E17" sqref="E17"/>
    </sheetView>
  </sheetViews>
  <sheetFormatPr defaultRowHeight="13.2" x14ac:dyDescent="0.25"/>
  <cols>
    <col min="1" max="1" width="7" customWidth="1"/>
    <col min="2" max="2" width="13" customWidth="1"/>
    <col min="3" max="3" width="13.6640625" customWidth="1"/>
    <col min="4" max="4" width="41" customWidth="1"/>
    <col min="6" max="6" width="11.33203125" customWidth="1"/>
    <col min="8" max="8" width="10" bestFit="1" customWidth="1"/>
    <col min="9" max="9" width="61.44140625" bestFit="1" customWidth="1"/>
    <col min="10" max="12" width="9.109375"/>
    <col min="13" max="13" width="48.5546875" customWidth="1"/>
    <col min="15" max="15" width="11.6640625" customWidth="1"/>
    <col min="17" max="17" width="10.33203125" bestFit="1" customWidth="1"/>
    <col min="18" max="18" width="57" bestFit="1" customWidth="1"/>
  </cols>
  <sheetData>
    <row r="1" spans="1:19" ht="14.4" x14ac:dyDescent="0.25">
      <c r="A1" s="2"/>
      <c r="B1" s="1"/>
      <c r="C1" s="1"/>
      <c r="D1" s="3"/>
      <c r="E1" s="2"/>
      <c r="F1" s="2"/>
      <c r="G1" s="2"/>
      <c r="H1" s="169"/>
      <c r="I1" s="169"/>
      <c r="J1" s="169"/>
      <c r="K1" s="169"/>
      <c r="L1" s="169"/>
      <c r="M1" s="3"/>
      <c r="N1" s="2"/>
      <c r="O1" s="2"/>
      <c r="P1" s="2"/>
    </row>
    <row r="2" spans="1:19" ht="23.4" x14ac:dyDescent="0.25">
      <c r="A2" s="212" t="s">
        <v>651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3"/>
      <c r="N2" s="212"/>
      <c r="O2" s="212"/>
      <c r="P2" s="212"/>
    </row>
    <row r="3" spans="1:19" x14ac:dyDescent="0.25">
      <c r="A3" s="207" t="s">
        <v>260</v>
      </c>
      <c r="B3" s="207" t="s">
        <v>259</v>
      </c>
      <c r="C3" s="207" t="s">
        <v>258</v>
      </c>
      <c r="D3" s="207" t="s">
        <v>257</v>
      </c>
      <c r="E3" s="214" t="s">
        <v>274</v>
      </c>
      <c r="F3" s="209"/>
      <c r="G3" s="209"/>
      <c r="H3" s="170"/>
      <c r="I3" s="170"/>
      <c r="J3" s="170"/>
      <c r="K3" s="170"/>
      <c r="L3" s="170"/>
      <c r="M3" s="207" t="s">
        <v>275</v>
      </c>
      <c r="N3" s="208" t="s">
        <v>274</v>
      </c>
      <c r="O3" s="209"/>
      <c r="P3" s="209"/>
    </row>
    <row r="4" spans="1:19" x14ac:dyDescent="0.25">
      <c r="A4" s="207"/>
      <c r="B4" s="207"/>
      <c r="C4" s="207"/>
      <c r="D4" s="207"/>
      <c r="E4" s="215"/>
      <c r="F4" s="211"/>
      <c r="G4" s="211"/>
      <c r="H4" s="171"/>
      <c r="I4" s="171"/>
      <c r="J4" s="171"/>
      <c r="K4" s="171"/>
      <c r="L4" s="171"/>
      <c r="M4" s="207"/>
      <c r="N4" s="210"/>
      <c r="O4" s="211"/>
      <c r="P4" s="211"/>
    </row>
    <row r="5" spans="1:19" x14ac:dyDescent="0.25">
      <c r="A5" s="207"/>
      <c r="B5" s="207"/>
      <c r="C5" s="207"/>
      <c r="D5" s="207"/>
      <c r="E5" s="10" t="s">
        <v>276</v>
      </c>
      <c r="F5" s="8" t="s">
        <v>277</v>
      </c>
      <c r="G5" s="47" t="s">
        <v>278</v>
      </c>
      <c r="H5" s="172"/>
      <c r="I5" s="172"/>
      <c r="J5" s="172"/>
      <c r="K5" s="172"/>
      <c r="L5" s="172"/>
      <c r="M5" s="207"/>
      <c r="N5" s="8" t="s">
        <v>276</v>
      </c>
      <c r="O5" s="8" t="s">
        <v>277</v>
      </c>
      <c r="P5" s="47" t="s">
        <v>278</v>
      </c>
    </row>
    <row r="6" spans="1:19" x14ac:dyDescent="0.25">
      <c r="A6" s="14" t="s">
        <v>254</v>
      </c>
      <c r="B6" s="14" t="s">
        <v>253</v>
      </c>
      <c r="C6" s="14" t="s">
        <v>252</v>
      </c>
      <c r="D6" s="14" t="s">
        <v>251</v>
      </c>
      <c r="E6" s="204" t="s">
        <v>247</v>
      </c>
      <c r="F6" s="205"/>
      <c r="G6" s="206"/>
      <c r="H6" s="173"/>
      <c r="I6" s="173"/>
      <c r="J6" s="173"/>
      <c r="K6" s="173"/>
      <c r="L6" s="173"/>
      <c r="M6" s="14" t="s">
        <v>284</v>
      </c>
      <c r="N6" s="205" t="s">
        <v>318</v>
      </c>
      <c r="O6" s="205"/>
      <c r="P6" s="206"/>
    </row>
    <row r="7" spans="1:19" ht="38.25" customHeight="1" x14ac:dyDescent="0.25">
      <c r="A7" s="146">
        <v>1</v>
      </c>
      <c r="B7" s="146">
        <v>3004463</v>
      </c>
      <c r="C7" s="146" t="s">
        <v>287</v>
      </c>
      <c r="D7" s="146" t="s">
        <v>663</v>
      </c>
      <c r="E7" s="149"/>
      <c r="F7" s="147" t="s">
        <v>665</v>
      </c>
      <c r="G7" s="150"/>
      <c r="H7" s="174">
        <f>B7</f>
        <v>3004463</v>
      </c>
      <c r="I7" s="174" t="str">
        <f>CONCATENATE(C7," ",D7)</f>
        <v>BRIG JEN DATO' ZAMZURI BIN HARUN</v>
      </c>
      <c r="J7" s="174" t="str">
        <f>F7</f>
        <v>DAGING</v>
      </c>
      <c r="K7" s="174"/>
      <c r="L7" s="174"/>
      <c r="M7" s="151" t="s">
        <v>610</v>
      </c>
      <c r="N7" s="147" t="s">
        <v>664</v>
      </c>
      <c r="O7" s="147"/>
      <c r="P7" s="150"/>
      <c r="Q7" t="str">
        <f>CONCATENATE("P",B7)</f>
        <v>P3004463</v>
      </c>
      <c r="R7" t="str">
        <f>UPPER(M7)</f>
        <v>TO’ PUAN HAJAH ZURYATI BINTI HJ ZULKIFLI</v>
      </c>
      <c r="S7" t="s">
        <v>664</v>
      </c>
    </row>
    <row r="8" spans="1:19" ht="32.25" customHeight="1" x14ac:dyDescent="0.25">
      <c r="A8" s="146">
        <v>2</v>
      </c>
      <c r="B8" s="146">
        <v>3004463</v>
      </c>
      <c r="C8" s="146" t="s">
        <v>287</v>
      </c>
      <c r="D8" s="146" t="s">
        <v>663</v>
      </c>
      <c r="E8" s="149"/>
      <c r="F8" s="147"/>
      <c r="G8" s="150"/>
      <c r="H8" s="174">
        <f t="shared" ref="H8:H71" si="0">B8</f>
        <v>3004463</v>
      </c>
      <c r="I8" s="174" t="str">
        <f t="shared" ref="I8:I71" si="1">CONCATENATE(C8," ",D8)</f>
        <v>BRIG JEN DATO' ZAMZURI BIN HARUN</v>
      </c>
      <c r="J8" s="174"/>
      <c r="K8" s="174"/>
      <c r="L8" s="174"/>
      <c r="M8" s="151" t="s">
        <v>611</v>
      </c>
      <c r="N8" s="147"/>
      <c r="O8" s="147"/>
      <c r="P8" s="150" t="s">
        <v>278</v>
      </c>
      <c r="Q8" t="str">
        <f>CONCATENATE("A",B8)</f>
        <v>A3004463</v>
      </c>
      <c r="R8" t="str">
        <f t="shared" ref="R8:R71" si="2">UPPER(M8)</f>
        <v>ZULAIKHA BINTI DATO' ZAMZURI</v>
      </c>
      <c r="S8" t="s">
        <v>278</v>
      </c>
    </row>
    <row r="9" spans="1:19" ht="34.5" customHeight="1" x14ac:dyDescent="0.25">
      <c r="A9" s="146">
        <v>3</v>
      </c>
      <c r="B9" s="146">
        <v>3004463</v>
      </c>
      <c r="C9" s="146" t="s">
        <v>287</v>
      </c>
      <c r="D9" s="146" t="s">
        <v>663</v>
      </c>
      <c r="E9" s="149"/>
      <c r="F9" s="147"/>
      <c r="G9" s="150"/>
      <c r="H9" s="174">
        <f t="shared" si="0"/>
        <v>3004463</v>
      </c>
      <c r="I9" s="174" t="str">
        <f t="shared" si="1"/>
        <v>BRIG JEN DATO' ZAMZURI BIN HARUN</v>
      </c>
      <c r="J9" s="174"/>
      <c r="K9" s="174"/>
      <c r="L9" s="174"/>
      <c r="M9" s="151" t="s">
        <v>612</v>
      </c>
      <c r="N9" s="147"/>
      <c r="O9" s="147" t="s">
        <v>665</v>
      </c>
      <c r="P9" s="150"/>
      <c r="Q9" t="str">
        <f>CONCATENATE("A",B9)</f>
        <v>A3004463</v>
      </c>
      <c r="R9" t="str">
        <f t="shared" si="2"/>
        <v>ZARIF BIN DATO' ZAMZURI</v>
      </c>
      <c r="S9" t="s">
        <v>665</v>
      </c>
    </row>
    <row r="10" spans="1:19" ht="32.25" customHeight="1" x14ac:dyDescent="0.25">
      <c r="A10" s="146">
        <v>4</v>
      </c>
      <c r="B10" s="146">
        <v>3004463</v>
      </c>
      <c r="C10" s="146" t="s">
        <v>287</v>
      </c>
      <c r="D10" s="146" t="s">
        <v>663</v>
      </c>
      <c r="E10" s="149"/>
      <c r="F10" s="147"/>
      <c r="G10" s="150"/>
      <c r="H10" s="174">
        <f t="shared" si="0"/>
        <v>3004463</v>
      </c>
      <c r="I10" s="174" t="str">
        <f t="shared" si="1"/>
        <v>BRIG JEN DATO' ZAMZURI BIN HARUN</v>
      </c>
      <c r="J10" s="174"/>
      <c r="K10" s="174"/>
      <c r="L10" s="174"/>
      <c r="M10" s="151" t="s">
        <v>613</v>
      </c>
      <c r="N10" s="147"/>
      <c r="O10" s="147" t="s">
        <v>665</v>
      </c>
      <c r="P10" s="150"/>
      <c r="Q10" t="str">
        <f>CONCATENATE("A",B10)</f>
        <v>A3004463</v>
      </c>
      <c r="R10" t="str">
        <f t="shared" si="2"/>
        <v>ZAFRI BIN DATO' ZAMZURI</v>
      </c>
      <c r="S10" t="s">
        <v>665</v>
      </c>
    </row>
    <row r="11" spans="1:19" ht="36" customHeight="1" x14ac:dyDescent="0.25">
      <c r="A11" s="55">
        <v>5</v>
      </c>
      <c r="B11" s="55">
        <v>3005059</v>
      </c>
      <c r="C11" s="55" t="s">
        <v>287</v>
      </c>
      <c r="D11" s="56" t="s">
        <v>262</v>
      </c>
      <c r="E11" s="157"/>
      <c r="F11" s="155" t="s">
        <v>665</v>
      </c>
      <c r="G11" s="158"/>
      <c r="H11" s="174">
        <f t="shared" si="0"/>
        <v>3005059</v>
      </c>
      <c r="I11" s="174" t="str">
        <f t="shared" si="1"/>
        <v xml:space="preserve">BRIG JEN ZULKIFLE BIN HASHIM  </v>
      </c>
      <c r="J11" s="174" t="s">
        <v>665</v>
      </c>
      <c r="K11" s="174"/>
      <c r="L11" s="174"/>
      <c r="M11" s="65" t="s">
        <v>614</v>
      </c>
      <c r="N11" s="155"/>
      <c r="O11" s="155" t="s">
        <v>665</v>
      </c>
      <c r="P11" s="158"/>
      <c r="Q11" t="str">
        <f t="shared" ref="Q11:Q42" si="3">CONCATENATE("P",B11)</f>
        <v>P3005059</v>
      </c>
      <c r="R11" t="str">
        <f t="shared" si="2"/>
        <v>PN RAHIMAH BINTI ALAM SAH</v>
      </c>
      <c r="S11" t="s">
        <v>665</v>
      </c>
    </row>
    <row r="12" spans="1:19" ht="48" customHeight="1" x14ac:dyDescent="0.25">
      <c r="A12" s="54">
        <v>6</v>
      </c>
      <c r="B12" s="55">
        <v>3005715</v>
      </c>
      <c r="C12" s="55" t="s">
        <v>321</v>
      </c>
      <c r="D12" s="56" t="s">
        <v>289</v>
      </c>
      <c r="E12" s="59"/>
      <c r="F12" s="54" t="s">
        <v>665</v>
      </c>
      <c r="G12" s="60"/>
      <c r="H12" s="174">
        <f t="shared" si="0"/>
        <v>3005715</v>
      </c>
      <c r="I12" s="174" t="str">
        <f t="shared" si="1"/>
        <v xml:space="preserve">KOL MOHD LUTPI TAUFIK BIN CHE MAT MIN </v>
      </c>
      <c r="J12" s="175" t="s">
        <v>665</v>
      </c>
      <c r="K12" s="175"/>
      <c r="L12" s="175"/>
      <c r="M12" s="62" t="s">
        <v>666</v>
      </c>
      <c r="N12" s="54"/>
      <c r="O12" s="54"/>
      <c r="P12" s="60" t="s">
        <v>278</v>
      </c>
      <c r="Q12" t="str">
        <f t="shared" si="3"/>
        <v>P3005715</v>
      </c>
      <c r="R12" t="str">
        <f t="shared" si="2"/>
        <v>PN TENGKU ASMA IZANI BINTI DATO’ TENGKU AZIZ</v>
      </c>
      <c r="S12" t="s">
        <v>278</v>
      </c>
    </row>
    <row r="13" spans="1:19" ht="39.75" customHeight="1" x14ac:dyDescent="0.25">
      <c r="A13" s="55">
        <v>7</v>
      </c>
      <c r="B13" s="55">
        <v>3007255</v>
      </c>
      <c r="C13" s="55" t="s">
        <v>321</v>
      </c>
      <c r="D13" s="56" t="s">
        <v>291</v>
      </c>
      <c r="E13" s="59"/>
      <c r="F13" s="54" t="s">
        <v>665</v>
      </c>
      <c r="G13" s="60"/>
      <c r="H13" s="174">
        <f t="shared" si="0"/>
        <v>3007255</v>
      </c>
      <c r="I13" s="174" t="str">
        <f t="shared" si="1"/>
        <v>KOL AZHAR BIN AHMAD</v>
      </c>
      <c r="J13" s="175" t="s">
        <v>665</v>
      </c>
      <c r="K13" s="175"/>
      <c r="L13" s="175"/>
      <c r="M13" s="62" t="s">
        <v>667</v>
      </c>
      <c r="N13" s="54" t="s">
        <v>664</v>
      </c>
      <c r="O13" s="54"/>
      <c r="P13" s="60"/>
      <c r="Q13" t="str">
        <f t="shared" si="3"/>
        <v>P3007255</v>
      </c>
      <c r="R13" t="str">
        <f t="shared" si="2"/>
        <v>PN HAJAH FADILAH BINTI AHMAD</v>
      </c>
      <c r="S13" t="s">
        <v>664</v>
      </c>
    </row>
    <row r="14" spans="1:19" ht="38.25" customHeight="1" x14ac:dyDescent="0.25">
      <c r="A14" s="54">
        <v>8</v>
      </c>
      <c r="B14" s="55">
        <v>3006156</v>
      </c>
      <c r="C14" s="55" t="s">
        <v>321</v>
      </c>
      <c r="D14" s="56" t="s">
        <v>244</v>
      </c>
      <c r="E14" s="59"/>
      <c r="F14" s="54" t="s">
        <v>665</v>
      </c>
      <c r="G14" s="60"/>
      <c r="H14" s="174">
        <f t="shared" si="0"/>
        <v>3006156</v>
      </c>
      <c r="I14" s="174" t="str">
        <f t="shared" si="1"/>
        <v xml:space="preserve">KOL MUHSIN BIN HJ HARUN </v>
      </c>
      <c r="J14" s="175" t="s">
        <v>665</v>
      </c>
      <c r="K14" s="175"/>
      <c r="L14" s="175"/>
      <c r="M14" s="62" t="s">
        <v>668</v>
      </c>
      <c r="N14" s="54" t="s">
        <v>664</v>
      </c>
      <c r="O14" s="54"/>
      <c r="P14" s="60"/>
      <c r="Q14" t="str">
        <f t="shared" si="3"/>
        <v>P3006156</v>
      </c>
      <c r="R14" t="str">
        <f t="shared" si="2"/>
        <v>PN KARTINA BINTI KHALID</v>
      </c>
      <c r="S14" t="s">
        <v>664</v>
      </c>
    </row>
    <row r="15" spans="1:19" ht="45.75" customHeight="1" x14ac:dyDescent="0.25">
      <c r="A15" s="55">
        <v>9</v>
      </c>
      <c r="B15" s="55">
        <v>3006696</v>
      </c>
      <c r="C15" s="55" t="s">
        <v>321</v>
      </c>
      <c r="D15" s="56" t="s">
        <v>240</v>
      </c>
      <c r="E15" s="59"/>
      <c r="F15" s="54" t="s">
        <v>665</v>
      </c>
      <c r="G15" s="60"/>
      <c r="H15" s="174">
        <f t="shared" si="0"/>
        <v>3006696</v>
      </c>
      <c r="I15" s="174" t="str">
        <f t="shared" si="1"/>
        <v xml:space="preserve">KOL MOHD AZIZAN BIN MUSTAPHA </v>
      </c>
      <c r="J15" s="175" t="s">
        <v>665</v>
      </c>
      <c r="K15" s="175"/>
      <c r="L15" s="175"/>
      <c r="M15" s="62" t="s">
        <v>669</v>
      </c>
      <c r="N15" s="54"/>
      <c r="O15" s="54"/>
      <c r="P15" s="60" t="s">
        <v>278</v>
      </c>
      <c r="Q15" t="str">
        <f t="shared" si="3"/>
        <v>P3006696</v>
      </c>
      <c r="R15" t="str">
        <f t="shared" si="2"/>
        <v>PN RAHAYU BINTI IBRAHIM</v>
      </c>
      <c r="S15" t="s">
        <v>278</v>
      </c>
    </row>
    <row r="16" spans="1:19" ht="42" customHeight="1" x14ac:dyDescent="0.25">
      <c r="A16" s="54">
        <v>10</v>
      </c>
      <c r="B16" s="55">
        <v>3005397</v>
      </c>
      <c r="C16" s="55" t="s">
        <v>232</v>
      </c>
      <c r="D16" s="56" t="s">
        <v>452</v>
      </c>
      <c r="E16" s="59"/>
      <c r="F16" s="54"/>
      <c r="G16" s="60" t="s">
        <v>278</v>
      </c>
      <c r="H16" s="174">
        <f t="shared" si="0"/>
        <v>3005397</v>
      </c>
      <c r="I16" s="174" t="str">
        <f t="shared" si="1"/>
        <v>LT KOL NORAZILENA BINTI  MOHAMAD NOR</v>
      </c>
      <c r="J16" s="175" t="s">
        <v>278</v>
      </c>
      <c r="K16" s="175"/>
      <c r="L16" s="175"/>
      <c r="M16" s="62"/>
      <c r="N16" s="54"/>
      <c r="O16" s="54"/>
      <c r="P16" s="60"/>
      <c r="Q16" t="str">
        <f t="shared" si="3"/>
        <v>P3005397</v>
      </c>
      <c r="R16" t="str">
        <f t="shared" si="2"/>
        <v/>
      </c>
    </row>
    <row r="17" spans="1:19" ht="42.75" customHeight="1" x14ac:dyDescent="0.3">
      <c r="A17" s="55">
        <v>11</v>
      </c>
      <c r="B17" s="55">
        <v>3006393</v>
      </c>
      <c r="C17" s="55" t="s">
        <v>232</v>
      </c>
      <c r="D17" s="56" t="s">
        <v>243</v>
      </c>
      <c r="E17" s="59"/>
      <c r="F17" s="54" t="s">
        <v>665</v>
      </c>
      <c r="G17" s="84"/>
      <c r="H17" s="174">
        <f t="shared" si="0"/>
        <v>3006393</v>
      </c>
      <c r="I17" s="174" t="str">
        <f t="shared" si="1"/>
        <v>LT KOL JAMAL BIN SAPRI</v>
      </c>
      <c r="J17" s="175" t="s">
        <v>665</v>
      </c>
      <c r="K17" s="176"/>
      <c r="L17" s="176"/>
      <c r="M17" s="77" t="s">
        <v>617</v>
      </c>
      <c r="N17" s="83"/>
      <c r="O17" s="83"/>
      <c r="P17" s="60" t="s">
        <v>278</v>
      </c>
      <c r="Q17" t="str">
        <f t="shared" si="3"/>
        <v>P3006393</v>
      </c>
      <c r="R17" t="str">
        <f t="shared" si="2"/>
        <v>DR SALIMAH BINTI HJ OTHMAN</v>
      </c>
      <c r="S17" t="s">
        <v>278</v>
      </c>
    </row>
    <row r="18" spans="1:19" ht="14.4" x14ac:dyDescent="0.25">
      <c r="A18" s="54">
        <v>12</v>
      </c>
      <c r="B18" s="55">
        <v>3009651</v>
      </c>
      <c r="C18" s="55" t="s">
        <v>232</v>
      </c>
      <c r="D18" s="56" t="s">
        <v>239</v>
      </c>
      <c r="E18" s="59"/>
      <c r="F18" s="54"/>
      <c r="G18" s="60" t="s">
        <v>278</v>
      </c>
      <c r="H18" s="174">
        <f t="shared" si="0"/>
        <v>3009651</v>
      </c>
      <c r="I18" s="174" t="str">
        <f t="shared" si="1"/>
        <v>LT KOL MOHD AZIZI BIN AHMAD</v>
      </c>
      <c r="J18" s="175" t="s">
        <v>278</v>
      </c>
      <c r="K18" s="175"/>
      <c r="L18" s="175"/>
      <c r="M18" s="62"/>
      <c r="N18" s="54"/>
      <c r="O18" s="54"/>
      <c r="P18" s="60"/>
      <c r="Q18" t="str">
        <f t="shared" si="3"/>
        <v>P3009651</v>
      </c>
      <c r="R18" t="str">
        <f t="shared" si="2"/>
        <v/>
      </c>
    </row>
    <row r="19" spans="1:19" ht="14.4" x14ac:dyDescent="0.25">
      <c r="A19" s="55">
        <v>13</v>
      </c>
      <c r="B19" s="55">
        <v>3008216</v>
      </c>
      <c r="C19" s="55" t="s">
        <v>232</v>
      </c>
      <c r="D19" s="56" t="s">
        <v>385</v>
      </c>
      <c r="E19" s="59"/>
      <c r="F19" s="54"/>
      <c r="G19" s="60" t="s">
        <v>278</v>
      </c>
      <c r="H19" s="174">
        <f t="shared" si="0"/>
        <v>3008216</v>
      </c>
      <c r="I19" s="174" t="str">
        <f t="shared" si="1"/>
        <v>LT KOL NORAZLINA BINTI IBRAHIM</v>
      </c>
      <c r="J19" s="175" t="s">
        <v>278</v>
      </c>
      <c r="K19" s="175"/>
      <c r="L19" s="175"/>
      <c r="M19" s="77"/>
      <c r="N19" s="54"/>
      <c r="O19" s="54"/>
      <c r="P19" s="60"/>
      <c r="Q19" t="str">
        <f t="shared" si="3"/>
        <v>P3008216</v>
      </c>
      <c r="R19" t="str">
        <f t="shared" si="2"/>
        <v/>
      </c>
    </row>
    <row r="20" spans="1:19" ht="45.75" customHeight="1" x14ac:dyDescent="0.25">
      <c r="A20" s="54">
        <v>14</v>
      </c>
      <c r="B20" s="55">
        <v>3007529</v>
      </c>
      <c r="C20" s="55" t="s">
        <v>232</v>
      </c>
      <c r="D20" s="56" t="s">
        <v>237</v>
      </c>
      <c r="E20" s="59"/>
      <c r="F20" s="54" t="s">
        <v>665</v>
      </c>
      <c r="G20" s="60"/>
      <c r="H20" s="174">
        <f t="shared" si="0"/>
        <v>3007529</v>
      </c>
      <c r="I20" s="174" t="str">
        <f t="shared" si="1"/>
        <v>LT KOL IZWAN BIN ISMAIL</v>
      </c>
      <c r="J20" s="175" t="s">
        <v>665</v>
      </c>
      <c r="K20" s="175"/>
      <c r="L20" s="175"/>
      <c r="M20" s="65" t="s">
        <v>670</v>
      </c>
      <c r="N20" s="54"/>
      <c r="O20" s="54" t="s">
        <v>665</v>
      </c>
      <c r="P20" s="60"/>
      <c r="Q20" t="str">
        <f t="shared" si="3"/>
        <v>P3007529</v>
      </c>
      <c r="R20" t="str">
        <f t="shared" si="2"/>
        <v>PN SHARINA YUSNEEN BINTI KAMARUDDIN</v>
      </c>
      <c r="S20" t="s">
        <v>665</v>
      </c>
    </row>
    <row r="21" spans="1:19" ht="49.5" customHeight="1" x14ac:dyDescent="0.25">
      <c r="A21" s="55">
        <v>15</v>
      </c>
      <c r="B21" s="55">
        <v>3008001</v>
      </c>
      <c r="C21" s="55" t="s">
        <v>232</v>
      </c>
      <c r="D21" s="56" t="s">
        <v>221</v>
      </c>
      <c r="E21" s="59"/>
      <c r="F21" s="54"/>
      <c r="G21" s="60" t="s">
        <v>278</v>
      </c>
      <c r="H21" s="174">
        <f t="shared" si="0"/>
        <v>3008001</v>
      </c>
      <c r="I21" s="174" t="str">
        <f t="shared" si="1"/>
        <v>LT KOL BADRUL HISHAM BIN MOHD SOHAIMI</v>
      </c>
      <c r="J21" s="175" t="s">
        <v>278</v>
      </c>
      <c r="K21" s="175"/>
      <c r="L21" s="175"/>
      <c r="M21" s="62"/>
      <c r="N21" s="54"/>
      <c r="O21" s="54"/>
      <c r="P21" s="60"/>
      <c r="Q21" t="str">
        <f t="shared" si="3"/>
        <v>P3008001</v>
      </c>
      <c r="R21" t="str">
        <f t="shared" si="2"/>
        <v/>
      </c>
    </row>
    <row r="22" spans="1:19" ht="48" customHeight="1" x14ac:dyDescent="0.25">
      <c r="A22" s="54">
        <v>16</v>
      </c>
      <c r="B22" s="55">
        <v>3009693</v>
      </c>
      <c r="C22" s="55" t="s">
        <v>232</v>
      </c>
      <c r="D22" s="56" t="s">
        <v>297</v>
      </c>
      <c r="E22" s="59"/>
      <c r="F22" s="54" t="s">
        <v>665</v>
      </c>
      <c r="G22" s="60"/>
      <c r="H22" s="174">
        <f t="shared" si="0"/>
        <v>3009693</v>
      </c>
      <c r="I22" s="174" t="str">
        <f t="shared" si="1"/>
        <v>LT KOL ZULKARNAIN BIN AMIR</v>
      </c>
      <c r="J22" s="175" t="s">
        <v>665</v>
      </c>
      <c r="K22" s="175"/>
      <c r="L22" s="175"/>
      <c r="M22" s="62" t="s">
        <v>671</v>
      </c>
      <c r="N22" s="54"/>
      <c r="O22" s="54"/>
      <c r="P22" s="60" t="s">
        <v>278</v>
      </c>
      <c r="Q22" t="str">
        <f t="shared" si="3"/>
        <v>P3009693</v>
      </c>
      <c r="R22" t="str">
        <f t="shared" si="2"/>
        <v>PN ZANARIAH BINTI IBRAHIM</v>
      </c>
      <c r="S22" t="s">
        <v>278</v>
      </c>
    </row>
    <row r="23" spans="1:19" ht="48.75" customHeight="1" x14ac:dyDescent="0.25">
      <c r="A23" s="55">
        <v>17</v>
      </c>
      <c r="B23" s="55">
        <v>3008035</v>
      </c>
      <c r="C23" s="55" t="s">
        <v>232</v>
      </c>
      <c r="D23" s="56" t="s">
        <v>263</v>
      </c>
      <c r="E23" s="59"/>
      <c r="F23" s="54" t="s">
        <v>665</v>
      </c>
      <c r="G23" s="60"/>
      <c r="H23" s="174">
        <f t="shared" si="0"/>
        <v>3008035</v>
      </c>
      <c r="I23" s="174" t="str">
        <f t="shared" si="1"/>
        <v>LT KOL MOHAMAD HAZRI BIN HAMZAH</v>
      </c>
      <c r="J23" s="175" t="s">
        <v>665</v>
      </c>
      <c r="K23" s="175"/>
      <c r="L23" s="175"/>
      <c r="M23" s="62" t="s">
        <v>672</v>
      </c>
      <c r="N23" s="54"/>
      <c r="O23" s="54"/>
      <c r="P23" s="60" t="s">
        <v>278</v>
      </c>
      <c r="Q23" t="str">
        <f t="shared" si="3"/>
        <v>P3008035</v>
      </c>
      <c r="R23" t="str">
        <f t="shared" si="2"/>
        <v>PN AZRINA BINTI MOHAMAD HEPNI</v>
      </c>
      <c r="S23" t="s">
        <v>278</v>
      </c>
    </row>
    <row r="24" spans="1:19" ht="53.25" customHeight="1" x14ac:dyDescent="0.25">
      <c r="A24" s="54">
        <v>18</v>
      </c>
      <c r="B24" s="55">
        <v>3010188</v>
      </c>
      <c r="C24" s="55" t="s">
        <v>232</v>
      </c>
      <c r="D24" s="56" t="s">
        <v>194</v>
      </c>
      <c r="E24" s="59" t="s">
        <v>664</v>
      </c>
      <c r="F24" s="54"/>
      <c r="G24" s="60"/>
      <c r="H24" s="174">
        <f t="shared" si="0"/>
        <v>3010188</v>
      </c>
      <c r="I24" s="174" t="str">
        <f t="shared" si="1"/>
        <v>LT KOL SAHRIN BIN IBRAHIM</v>
      </c>
      <c r="J24" s="175" t="s">
        <v>664</v>
      </c>
      <c r="K24" s="175"/>
      <c r="L24" s="175"/>
      <c r="M24" s="62" t="s">
        <v>673</v>
      </c>
      <c r="N24" s="54" t="s">
        <v>664</v>
      </c>
      <c r="O24" s="54"/>
      <c r="P24" s="60"/>
      <c r="Q24" t="str">
        <f t="shared" si="3"/>
        <v>P3010188</v>
      </c>
      <c r="R24" t="str">
        <f t="shared" si="2"/>
        <v>PN NOR ZURIATI BINTI ZAINAL</v>
      </c>
      <c r="S24" t="s">
        <v>664</v>
      </c>
    </row>
    <row r="25" spans="1:19" ht="14.4" x14ac:dyDescent="0.25">
      <c r="A25" s="55">
        <v>19</v>
      </c>
      <c r="B25" s="55">
        <v>3009725</v>
      </c>
      <c r="C25" s="55" t="s">
        <v>232</v>
      </c>
      <c r="D25" s="56" t="s">
        <v>459</v>
      </c>
      <c r="E25" s="59"/>
      <c r="F25" s="54"/>
      <c r="G25" s="60" t="s">
        <v>278</v>
      </c>
      <c r="H25" s="174">
        <f t="shared" si="0"/>
        <v>3009725</v>
      </c>
      <c r="I25" s="174" t="str">
        <f t="shared" si="1"/>
        <v>LT KOL ROSLIZA BTE ARIFIN</v>
      </c>
      <c r="J25" s="175" t="s">
        <v>278</v>
      </c>
      <c r="K25" s="175"/>
      <c r="L25" s="175"/>
      <c r="M25" s="62"/>
      <c r="N25" s="54"/>
      <c r="O25" s="54"/>
      <c r="P25" s="60"/>
      <c r="Q25" t="str">
        <f t="shared" si="3"/>
        <v>P3009725</v>
      </c>
      <c r="R25" t="str">
        <f t="shared" si="2"/>
        <v/>
      </c>
    </row>
    <row r="26" spans="1:19" ht="52.5" customHeight="1" x14ac:dyDescent="0.25">
      <c r="A26" s="54">
        <v>20</v>
      </c>
      <c r="B26" s="55">
        <v>3010344</v>
      </c>
      <c r="C26" s="55" t="s">
        <v>232</v>
      </c>
      <c r="D26" s="56" t="s">
        <v>193</v>
      </c>
      <c r="E26" s="59" t="s">
        <v>664</v>
      </c>
      <c r="F26" s="54"/>
      <c r="G26" s="60"/>
      <c r="H26" s="174">
        <f t="shared" si="0"/>
        <v>3010344</v>
      </c>
      <c r="I26" s="174" t="str">
        <f t="shared" si="1"/>
        <v>LT KOL MOHD SHAHRIZAD BIN MOHD TERMIZI</v>
      </c>
      <c r="J26" s="175" t="s">
        <v>664</v>
      </c>
      <c r="K26" s="175"/>
      <c r="L26" s="175"/>
      <c r="M26" s="62" t="s">
        <v>674</v>
      </c>
      <c r="N26" s="54"/>
      <c r="O26" s="54" t="s">
        <v>665</v>
      </c>
      <c r="P26" s="60"/>
      <c r="Q26" t="str">
        <f t="shared" si="3"/>
        <v>P3010344</v>
      </c>
      <c r="R26" t="str">
        <f t="shared" si="2"/>
        <v>PN RUSILA BINTI ABDULLAH</v>
      </c>
      <c r="S26" t="s">
        <v>665</v>
      </c>
    </row>
    <row r="27" spans="1:19" ht="56.25" customHeight="1" x14ac:dyDescent="0.25">
      <c r="A27" s="55">
        <v>21</v>
      </c>
      <c r="B27" s="55">
        <v>3010205</v>
      </c>
      <c r="C27" s="55" t="s">
        <v>232</v>
      </c>
      <c r="D27" s="56" t="s">
        <v>266</v>
      </c>
      <c r="E27" s="59"/>
      <c r="F27" s="54"/>
      <c r="G27" s="60" t="s">
        <v>278</v>
      </c>
      <c r="H27" s="174">
        <f t="shared" si="0"/>
        <v>3010205</v>
      </c>
      <c r="I27" s="174" t="str">
        <f t="shared" si="1"/>
        <v>LT KOL FAZLIN ERWINAZ  BTE HASSAN</v>
      </c>
      <c r="J27" s="175" t="s">
        <v>278</v>
      </c>
      <c r="K27" s="175"/>
      <c r="L27" s="175"/>
      <c r="M27" s="65" t="s">
        <v>562</v>
      </c>
      <c r="N27" s="54"/>
      <c r="O27" s="54" t="s">
        <v>665</v>
      </c>
      <c r="P27" s="60"/>
      <c r="Q27" t="str">
        <f t="shared" si="3"/>
        <v>P3010205</v>
      </c>
      <c r="R27" t="str">
        <f t="shared" si="2"/>
        <v>MEJ SHAHFIZAL BIN KHAIRUDIN</v>
      </c>
      <c r="S27" t="s">
        <v>665</v>
      </c>
    </row>
    <row r="28" spans="1:19" ht="49.5" customHeight="1" x14ac:dyDescent="0.25">
      <c r="A28" s="54">
        <v>22</v>
      </c>
      <c r="B28" s="55">
        <v>3007228</v>
      </c>
      <c r="C28" s="55" t="s">
        <v>461</v>
      </c>
      <c r="D28" s="56" t="s">
        <v>225</v>
      </c>
      <c r="E28" s="59"/>
      <c r="F28" s="54" t="s">
        <v>665</v>
      </c>
      <c r="G28" s="60"/>
      <c r="H28" s="174">
        <f t="shared" si="0"/>
        <v>3007228</v>
      </c>
      <c r="I28" s="174" t="str">
        <f t="shared" si="1"/>
        <v>LT KOL (F) NAZIRUDDIN BIN ISMAIL</v>
      </c>
      <c r="J28" s="175" t="s">
        <v>665</v>
      </c>
      <c r="K28" s="175"/>
      <c r="L28" s="175"/>
      <c r="M28" s="62" t="s">
        <v>675</v>
      </c>
      <c r="N28" s="54" t="s">
        <v>664</v>
      </c>
      <c r="O28" s="54"/>
      <c r="P28" s="60"/>
      <c r="Q28" t="str">
        <f t="shared" si="3"/>
        <v>P3007228</v>
      </c>
      <c r="R28" t="str">
        <f t="shared" si="2"/>
        <v>PN ISMAWATI BINTI IDRIS</v>
      </c>
      <c r="S28" t="s">
        <v>664</v>
      </c>
    </row>
    <row r="29" spans="1:19" ht="48.75" customHeight="1" x14ac:dyDescent="0.25">
      <c r="A29" s="55">
        <v>23</v>
      </c>
      <c r="B29" s="55">
        <v>3009234</v>
      </c>
      <c r="C29" s="55" t="s">
        <v>232</v>
      </c>
      <c r="D29" s="56" t="s">
        <v>295</v>
      </c>
      <c r="E29" s="59"/>
      <c r="F29" s="54"/>
      <c r="G29" s="60" t="s">
        <v>278</v>
      </c>
      <c r="H29" s="174">
        <f t="shared" si="0"/>
        <v>3009234</v>
      </c>
      <c r="I29" s="174" t="str">
        <f t="shared" si="1"/>
        <v>LT KOL AIFALINDA BTE JAMALUDIN</v>
      </c>
      <c r="J29" s="175" t="s">
        <v>278</v>
      </c>
      <c r="K29" s="175"/>
      <c r="L29" s="175"/>
      <c r="M29" s="77"/>
      <c r="N29" s="54"/>
      <c r="O29" s="54"/>
      <c r="P29" s="60"/>
      <c r="Q29" t="str">
        <f t="shared" si="3"/>
        <v>P3009234</v>
      </c>
      <c r="R29" t="str">
        <f t="shared" si="2"/>
        <v/>
      </c>
    </row>
    <row r="30" spans="1:19" ht="14.4" x14ac:dyDescent="0.25">
      <c r="A30" s="54">
        <v>24</v>
      </c>
      <c r="B30" s="55">
        <v>3008083</v>
      </c>
      <c r="C30" s="55" t="s">
        <v>232</v>
      </c>
      <c r="D30" s="56" t="s">
        <v>217</v>
      </c>
      <c r="E30" s="59"/>
      <c r="F30" s="54"/>
      <c r="G30" s="60" t="s">
        <v>278</v>
      </c>
      <c r="H30" s="174">
        <f t="shared" si="0"/>
        <v>3008083</v>
      </c>
      <c r="I30" s="174" t="str">
        <f t="shared" si="1"/>
        <v>LT KOL YOONG  SOON  KIONG</v>
      </c>
      <c r="J30" s="175" t="s">
        <v>278</v>
      </c>
      <c r="K30" s="175"/>
      <c r="L30" s="175"/>
      <c r="M30" s="62" t="s">
        <v>676</v>
      </c>
      <c r="N30" s="54" t="s">
        <v>664</v>
      </c>
      <c r="O30" s="54"/>
      <c r="P30" s="60"/>
      <c r="Q30" t="str">
        <f t="shared" si="3"/>
        <v>P3008083</v>
      </c>
      <c r="R30" t="str">
        <f t="shared" si="2"/>
        <v xml:space="preserve">PN LIM SIEW HUI </v>
      </c>
      <c r="S30" t="s">
        <v>664</v>
      </c>
    </row>
    <row r="31" spans="1:19" ht="54.75" customHeight="1" x14ac:dyDescent="0.25">
      <c r="A31" s="55">
        <v>25</v>
      </c>
      <c r="B31" s="55">
        <v>3009710</v>
      </c>
      <c r="C31" s="55" t="s">
        <v>170</v>
      </c>
      <c r="D31" s="56" t="s">
        <v>204</v>
      </c>
      <c r="E31" s="59"/>
      <c r="F31" s="54"/>
      <c r="G31" s="60" t="s">
        <v>278</v>
      </c>
      <c r="H31" s="174">
        <f t="shared" si="0"/>
        <v>3009710</v>
      </c>
      <c r="I31" s="174" t="str">
        <f t="shared" si="1"/>
        <v>MEJ NANI ARYANTI BTE MD HANIF</v>
      </c>
      <c r="J31" s="175" t="s">
        <v>278</v>
      </c>
      <c r="K31" s="175"/>
      <c r="L31" s="175"/>
      <c r="M31" s="62" t="s">
        <v>569</v>
      </c>
      <c r="N31" s="54"/>
      <c r="O31" s="54" t="s">
        <v>665</v>
      </c>
      <c r="P31" s="60"/>
      <c r="Q31" t="str">
        <f t="shared" si="3"/>
        <v>P3009710</v>
      </c>
      <c r="R31" t="str">
        <f t="shared" si="2"/>
        <v>MEJ MOHD SANIN BIN SUPARMAN</v>
      </c>
      <c r="S31" t="s">
        <v>665</v>
      </c>
    </row>
    <row r="32" spans="1:19" ht="52.5" customHeight="1" x14ac:dyDescent="0.25">
      <c r="A32" s="54">
        <v>26</v>
      </c>
      <c r="B32" s="55">
        <v>3007997</v>
      </c>
      <c r="C32" s="55" t="s">
        <v>170</v>
      </c>
      <c r="D32" s="56" t="s">
        <v>223</v>
      </c>
      <c r="E32" s="59"/>
      <c r="F32" s="54" t="s">
        <v>665</v>
      </c>
      <c r="G32" s="60"/>
      <c r="H32" s="174">
        <f t="shared" si="0"/>
        <v>3007997</v>
      </c>
      <c r="I32" s="174" t="str">
        <f t="shared" si="1"/>
        <v>MEJ ASRUL BIN BAHAR</v>
      </c>
      <c r="J32" s="175" t="s">
        <v>665</v>
      </c>
      <c r="K32" s="175"/>
      <c r="L32" s="175"/>
      <c r="M32" s="62" t="s">
        <v>677</v>
      </c>
      <c r="N32" s="54"/>
      <c r="O32" s="54"/>
      <c r="P32" s="60" t="s">
        <v>278</v>
      </c>
      <c r="Q32" t="str">
        <f t="shared" si="3"/>
        <v>P3007997</v>
      </c>
      <c r="R32" t="str">
        <f t="shared" si="2"/>
        <v>PN UMMI YANTI BTE LATHEEF</v>
      </c>
      <c r="S32" t="s">
        <v>278</v>
      </c>
    </row>
    <row r="33" spans="1:19" ht="14.4" x14ac:dyDescent="0.25">
      <c r="A33" s="55">
        <v>27</v>
      </c>
      <c r="B33" s="55">
        <v>3006374</v>
      </c>
      <c r="C33" s="55" t="s">
        <v>170</v>
      </c>
      <c r="D33" s="56" t="s">
        <v>229</v>
      </c>
      <c r="E33" s="59"/>
      <c r="F33" s="54" t="s">
        <v>665</v>
      </c>
      <c r="G33" s="60"/>
      <c r="H33" s="174">
        <f t="shared" si="0"/>
        <v>3006374</v>
      </c>
      <c r="I33" s="174" t="str">
        <f t="shared" si="1"/>
        <v>MEJ YUSRI BIN DARUS</v>
      </c>
      <c r="J33" s="175" t="s">
        <v>665</v>
      </c>
      <c r="K33" s="175"/>
      <c r="L33" s="175"/>
      <c r="M33" s="62" t="s">
        <v>678</v>
      </c>
      <c r="N33" s="54" t="s">
        <v>664</v>
      </c>
      <c r="O33" s="54"/>
      <c r="P33" s="60"/>
      <c r="Q33" t="str">
        <f t="shared" si="3"/>
        <v>P3006374</v>
      </c>
      <c r="R33" t="str">
        <f t="shared" si="2"/>
        <v>PN SARIMAH BUNTI SAAD</v>
      </c>
      <c r="S33" t="s">
        <v>664</v>
      </c>
    </row>
    <row r="34" spans="1:19" ht="48.75" customHeight="1" x14ac:dyDescent="0.25">
      <c r="A34" s="54">
        <v>28</v>
      </c>
      <c r="B34" s="55">
        <v>3006377</v>
      </c>
      <c r="C34" s="55" t="s">
        <v>170</v>
      </c>
      <c r="D34" s="56" t="s">
        <v>390</v>
      </c>
      <c r="E34" s="59"/>
      <c r="F34" s="54"/>
      <c r="G34" s="60" t="s">
        <v>278</v>
      </c>
      <c r="H34" s="174">
        <f t="shared" si="0"/>
        <v>3006377</v>
      </c>
      <c r="I34" s="174" t="str">
        <f t="shared" si="1"/>
        <v>MEJ ROSMAZIA BINTI MUSTAPHA</v>
      </c>
      <c r="J34" s="175" t="s">
        <v>278</v>
      </c>
      <c r="K34" s="175"/>
      <c r="L34" s="175"/>
      <c r="M34" s="62"/>
      <c r="N34" s="54"/>
      <c r="O34" s="54"/>
      <c r="P34" s="60"/>
      <c r="Q34" t="str">
        <f t="shared" si="3"/>
        <v>P3006377</v>
      </c>
      <c r="R34" t="str">
        <f t="shared" si="2"/>
        <v/>
      </c>
    </row>
    <row r="35" spans="1:19" ht="14.4" x14ac:dyDescent="0.25">
      <c r="A35" s="55">
        <v>29</v>
      </c>
      <c r="B35" s="55">
        <v>7508392</v>
      </c>
      <c r="C35" s="55" t="s">
        <v>179</v>
      </c>
      <c r="D35" s="56" t="s">
        <v>178</v>
      </c>
      <c r="E35" s="59"/>
      <c r="F35" s="54"/>
      <c r="G35" s="60" t="s">
        <v>278</v>
      </c>
      <c r="H35" s="174">
        <f t="shared" si="0"/>
        <v>7508392</v>
      </c>
      <c r="I35" s="174" t="str">
        <f t="shared" si="1"/>
        <v>MEJ  JUNAINAH BTE MUIN</v>
      </c>
      <c r="J35" s="175" t="s">
        <v>278</v>
      </c>
      <c r="K35" s="175"/>
      <c r="L35" s="175"/>
      <c r="M35" s="62"/>
      <c r="N35" s="54"/>
      <c r="O35" s="54"/>
      <c r="P35" s="60"/>
      <c r="Q35" t="str">
        <f t="shared" si="3"/>
        <v>P7508392</v>
      </c>
      <c r="R35" t="str">
        <f t="shared" si="2"/>
        <v/>
      </c>
    </row>
    <row r="36" spans="1:19" ht="14.4" x14ac:dyDescent="0.25">
      <c r="A36" s="54">
        <v>30</v>
      </c>
      <c r="B36" s="55">
        <v>3008124</v>
      </c>
      <c r="C36" s="55" t="s">
        <v>170</v>
      </c>
      <c r="D36" s="56" t="s">
        <v>215</v>
      </c>
      <c r="E36" s="59"/>
      <c r="F36" s="54" t="s">
        <v>665</v>
      </c>
      <c r="G36" s="60"/>
      <c r="H36" s="174">
        <f t="shared" si="0"/>
        <v>3008124</v>
      </c>
      <c r="I36" s="174" t="str">
        <f t="shared" si="1"/>
        <v>MEJ MAHATHIR BIN DAUD</v>
      </c>
      <c r="J36" s="175" t="s">
        <v>665</v>
      </c>
      <c r="K36" s="175"/>
      <c r="L36" s="175"/>
      <c r="M36" s="62"/>
      <c r="N36" s="54"/>
      <c r="O36" s="54"/>
      <c r="P36" s="60"/>
      <c r="Q36" t="str">
        <f t="shared" si="3"/>
        <v>P3008124</v>
      </c>
      <c r="R36" t="str">
        <f t="shared" si="2"/>
        <v/>
      </c>
    </row>
    <row r="37" spans="1:19" ht="14.4" x14ac:dyDescent="0.25">
      <c r="A37" s="55">
        <v>31</v>
      </c>
      <c r="B37" s="55">
        <v>3009684</v>
      </c>
      <c r="C37" s="55" t="s">
        <v>170</v>
      </c>
      <c r="D37" s="56" t="s">
        <v>206</v>
      </c>
      <c r="E37" s="61" t="s">
        <v>664</v>
      </c>
      <c r="F37" s="54"/>
      <c r="G37" s="60"/>
      <c r="H37" s="174">
        <f t="shared" si="0"/>
        <v>3009684</v>
      </c>
      <c r="I37" s="174" t="str">
        <f t="shared" si="1"/>
        <v xml:space="preserve">MEJ HJ SHAHRIL BIN CHE SHAFIE </v>
      </c>
      <c r="J37" s="175" t="s">
        <v>664</v>
      </c>
      <c r="K37" s="175"/>
      <c r="L37" s="175"/>
      <c r="M37" s="62"/>
      <c r="N37" s="54"/>
      <c r="O37" s="54"/>
      <c r="P37" s="60"/>
      <c r="Q37" t="str">
        <f t="shared" si="3"/>
        <v>P3009684</v>
      </c>
      <c r="R37" t="str">
        <f t="shared" si="2"/>
        <v/>
      </c>
    </row>
    <row r="38" spans="1:19" ht="14.4" x14ac:dyDescent="0.25">
      <c r="A38" s="54">
        <v>32</v>
      </c>
      <c r="B38" s="55">
        <v>3010207</v>
      </c>
      <c r="C38" s="55" t="s">
        <v>170</v>
      </c>
      <c r="D38" s="56" t="s">
        <v>299</v>
      </c>
      <c r="E38" s="59"/>
      <c r="F38" s="54"/>
      <c r="G38" s="60" t="s">
        <v>278</v>
      </c>
      <c r="H38" s="174">
        <f t="shared" si="0"/>
        <v>3010207</v>
      </c>
      <c r="I38" s="174" t="str">
        <f t="shared" si="1"/>
        <v>MEJ NURHUDA BTE AMAT PUAD</v>
      </c>
      <c r="J38" s="175" t="s">
        <v>278</v>
      </c>
      <c r="K38" s="175"/>
      <c r="L38" s="175"/>
      <c r="M38" s="62"/>
      <c r="N38" s="54"/>
      <c r="O38" s="54"/>
      <c r="P38" s="60"/>
      <c r="Q38" t="str">
        <f t="shared" si="3"/>
        <v>P3010207</v>
      </c>
      <c r="R38" t="str">
        <f t="shared" si="2"/>
        <v/>
      </c>
    </row>
    <row r="39" spans="1:19" ht="63" customHeight="1" x14ac:dyDescent="0.25">
      <c r="A39" s="55">
        <v>33</v>
      </c>
      <c r="B39" s="55">
        <v>7512168</v>
      </c>
      <c r="C39" s="55" t="s">
        <v>170</v>
      </c>
      <c r="D39" s="56" t="s">
        <v>472</v>
      </c>
      <c r="E39" s="59"/>
      <c r="F39" s="54" t="s">
        <v>665</v>
      </c>
      <c r="G39" s="60"/>
      <c r="H39" s="174">
        <f t="shared" si="0"/>
        <v>7512168</v>
      </c>
      <c r="I39" s="174" t="str">
        <f t="shared" si="1"/>
        <v>MEJ NORBAIZURA LIANI BTE MOHD ROZLAN</v>
      </c>
      <c r="J39" s="175" t="s">
        <v>665</v>
      </c>
      <c r="K39" s="175"/>
      <c r="L39" s="175"/>
      <c r="M39" s="62"/>
      <c r="N39" s="54"/>
      <c r="O39" s="54"/>
      <c r="P39" s="60"/>
      <c r="Q39" t="str">
        <f t="shared" si="3"/>
        <v>P7512168</v>
      </c>
      <c r="R39" t="str">
        <f t="shared" si="2"/>
        <v/>
      </c>
    </row>
    <row r="40" spans="1:19" ht="14.4" x14ac:dyDescent="0.25">
      <c r="A40" s="54">
        <v>34</v>
      </c>
      <c r="B40" s="55">
        <v>7516997</v>
      </c>
      <c r="C40" s="55" t="s">
        <v>170</v>
      </c>
      <c r="D40" s="56" t="s">
        <v>177</v>
      </c>
      <c r="E40" s="59"/>
      <c r="F40" s="54"/>
      <c r="G40" s="60" t="s">
        <v>278</v>
      </c>
      <c r="H40" s="174">
        <f t="shared" si="0"/>
        <v>7516997</v>
      </c>
      <c r="I40" s="174" t="str">
        <f t="shared" si="1"/>
        <v xml:space="preserve">MEJ HASMIZA BTE BAHAROM </v>
      </c>
      <c r="J40" s="175" t="s">
        <v>278</v>
      </c>
      <c r="K40" s="175"/>
      <c r="L40" s="175"/>
      <c r="M40" s="77"/>
      <c r="N40" s="54"/>
      <c r="O40" s="54"/>
      <c r="P40" s="60"/>
      <c r="Q40" t="str">
        <f t="shared" si="3"/>
        <v>P7516997</v>
      </c>
      <c r="R40" t="str">
        <f t="shared" si="2"/>
        <v/>
      </c>
    </row>
    <row r="41" spans="1:19" ht="14.4" x14ac:dyDescent="0.25">
      <c r="A41" s="55">
        <v>35</v>
      </c>
      <c r="B41" s="55">
        <v>3009427</v>
      </c>
      <c r="C41" s="55" t="s">
        <v>170</v>
      </c>
      <c r="D41" s="56" t="s">
        <v>207</v>
      </c>
      <c r="E41" s="59"/>
      <c r="F41" s="54" t="s">
        <v>665</v>
      </c>
      <c r="G41" s="60"/>
      <c r="H41" s="174">
        <f t="shared" si="0"/>
        <v>3009427</v>
      </c>
      <c r="I41" s="174" t="str">
        <f t="shared" si="1"/>
        <v>MEJ JUNITA ADLINA BTE HADLIN</v>
      </c>
      <c r="J41" s="175" t="s">
        <v>665</v>
      </c>
      <c r="K41" s="175"/>
      <c r="L41" s="175"/>
      <c r="M41" s="76"/>
      <c r="N41" s="54"/>
      <c r="O41" s="54"/>
      <c r="P41" s="60"/>
      <c r="Q41" t="str">
        <f t="shared" si="3"/>
        <v>P3009427</v>
      </c>
      <c r="R41" t="str">
        <f t="shared" si="2"/>
        <v/>
      </c>
    </row>
    <row r="42" spans="1:19" ht="66" customHeight="1" x14ac:dyDescent="0.25">
      <c r="A42" s="54">
        <v>36</v>
      </c>
      <c r="B42" s="55">
        <v>3009495</v>
      </c>
      <c r="C42" s="55" t="s">
        <v>170</v>
      </c>
      <c r="D42" s="56" t="s">
        <v>176</v>
      </c>
      <c r="E42" s="59"/>
      <c r="F42" s="54" t="s">
        <v>665</v>
      </c>
      <c r="G42" s="60"/>
      <c r="H42" s="174">
        <f t="shared" si="0"/>
        <v>3009495</v>
      </c>
      <c r="I42" s="174" t="str">
        <f t="shared" si="1"/>
        <v>MEJ MUHAMAD FAZLY BIN MUSTAFA KAMAR</v>
      </c>
      <c r="J42" s="175" t="s">
        <v>665</v>
      </c>
      <c r="K42" s="175"/>
      <c r="L42" s="175"/>
      <c r="M42" s="62" t="s">
        <v>679</v>
      </c>
      <c r="N42" s="54" t="s">
        <v>664</v>
      </c>
      <c r="O42" s="54"/>
      <c r="P42" s="60"/>
      <c r="Q42" t="str">
        <f t="shared" si="3"/>
        <v>P3009495</v>
      </c>
      <c r="R42" t="str">
        <f t="shared" si="2"/>
        <v>PN NURULNAJLAA BINTI IBRAHIM</v>
      </c>
      <c r="S42" t="s">
        <v>664</v>
      </c>
    </row>
    <row r="43" spans="1:19" ht="14.4" x14ac:dyDescent="0.25">
      <c r="A43" s="55">
        <v>37</v>
      </c>
      <c r="B43" s="55">
        <v>7514423</v>
      </c>
      <c r="C43" s="55" t="s">
        <v>170</v>
      </c>
      <c r="D43" s="56" t="s">
        <v>474</v>
      </c>
      <c r="E43" s="59"/>
      <c r="F43" s="54"/>
      <c r="G43" s="60" t="s">
        <v>278</v>
      </c>
      <c r="H43" s="174">
        <f t="shared" si="0"/>
        <v>7514423</v>
      </c>
      <c r="I43" s="174" t="str">
        <f t="shared" si="1"/>
        <v>MEJ HASNIZA BTE MUHAMMAD</v>
      </c>
      <c r="J43" s="175" t="s">
        <v>278</v>
      </c>
      <c r="K43" s="175"/>
      <c r="L43" s="175"/>
      <c r="M43" s="62"/>
      <c r="N43" s="54"/>
      <c r="O43" s="54"/>
      <c r="P43" s="60"/>
      <c r="Q43" t="str">
        <f t="shared" ref="Q43:Q74" si="4">CONCATENATE("P",B43)</f>
        <v>P7514423</v>
      </c>
      <c r="R43" t="str">
        <f t="shared" si="2"/>
        <v/>
      </c>
    </row>
    <row r="44" spans="1:19" ht="72" customHeight="1" x14ac:dyDescent="0.25">
      <c r="A44" s="54">
        <v>38</v>
      </c>
      <c r="B44" s="55">
        <v>3008445</v>
      </c>
      <c r="C44" s="55" t="s">
        <v>170</v>
      </c>
      <c r="D44" s="56" t="s">
        <v>213</v>
      </c>
      <c r="E44" s="59"/>
      <c r="F44" s="54" t="s">
        <v>665</v>
      </c>
      <c r="G44" s="60"/>
      <c r="H44" s="174">
        <f t="shared" si="0"/>
        <v>3008445</v>
      </c>
      <c r="I44" s="174" t="str">
        <f t="shared" si="1"/>
        <v>MEJ IQTIYANIE MARLITA BTE MOHD GANI</v>
      </c>
      <c r="J44" s="175" t="s">
        <v>665</v>
      </c>
      <c r="K44" s="175"/>
      <c r="L44" s="175"/>
      <c r="M44" s="62"/>
      <c r="N44" s="54"/>
      <c r="O44" s="54"/>
      <c r="P44" s="60"/>
      <c r="Q44" t="str">
        <f t="shared" si="4"/>
        <v>P3008445</v>
      </c>
      <c r="R44" t="str">
        <f t="shared" si="2"/>
        <v/>
      </c>
    </row>
    <row r="45" spans="1:19" ht="72" customHeight="1" x14ac:dyDescent="0.25">
      <c r="A45" s="55">
        <v>39</v>
      </c>
      <c r="B45" s="55">
        <v>3011466</v>
      </c>
      <c r="C45" s="55" t="s">
        <v>170</v>
      </c>
      <c r="D45" s="56" t="s">
        <v>150</v>
      </c>
      <c r="E45" s="59" t="s">
        <v>664</v>
      </c>
      <c r="F45" s="54"/>
      <c r="G45" s="60"/>
      <c r="H45" s="174">
        <f t="shared" si="0"/>
        <v>3011466</v>
      </c>
      <c r="I45" s="174" t="str">
        <f t="shared" si="1"/>
        <v>MEJ MUHAMMAD HATIMTAI BIN BAHARUDIN</v>
      </c>
      <c r="J45" s="175" t="s">
        <v>664</v>
      </c>
      <c r="K45" s="175"/>
      <c r="L45" s="175"/>
      <c r="M45" s="62"/>
      <c r="N45" s="54"/>
      <c r="O45" s="54"/>
      <c r="P45" s="60"/>
      <c r="Q45" t="str">
        <f t="shared" si="4"/>
        <v>P3011466</v>
      </c>
      <c r="R45" t="str">
        <f t="shared" si="2"/>
        <v/>
      </c>
    </row>
    <row r="46" spans="1:19" ht="65.25" customHeight="1" x14ac:dyDescent="0.25">
      <c r="A46" s="54">
        <v>40</v>
      </c>
      <c r="B46" s="55">
        <v>3008508</v>
      </c>
      <c r="C46" s="55" t="s">
        <v>170</v>
      </c>
      <c r="D46" s="56" t="s">
        <v>264</v>
      </c>
      <c r="E46" s="59" t="s">
        <v>664</v>
      </c>
      <c r="F46" s="54"/>
      <c r="G46" s="60"/>
      <c r="H46" s="174">
        <f t="shared" si="0"/>
        <v>3008508</v>
      </c>
      <c r="I46" s="174" t="str">
        <f t="shared" si="1"/>
        <v>MEJ NORAPIDAH BTE ABU BAKAR</v>
      </c>
      <c r="J46" s="175" t="s">
        <v>664</v>
      </c>
      <c r="K46" s="175"/>
      <c r="L46" s="175"/>
      <c r="M46" s="62" t="s">
        <v>563</v>
      </c>
      <c r="N46" s="54"/>
      <c r="O46" s="54"/>
      <c r="P46" s="60" t="s">
        <v>278</v>
      </c>
      <c r="Q46" t="str">
        <f t="shared" si="4"/>
        <v>P3008508</v>
      </c>
      <c r="R46" t="str">
        <f t="shared" si="2"/>
        <v xml:space="preserve">LT KOL FAIRUZ IKMAL BIN YACCUB </v>
      </c>
      <c r="S46" t="s">
        <v>278</v>
      </c>
    </row>
    <row r="47" spans="1:19" ht="14.4" x14ac:dyDescent="0.25">
      <c r="A47" s="55">
        <v>41</v>
      </c>
      <c r="B47" s="55">
        <v>3008905</v>
      </c>
      <c r="C47" s="55" t="s">
        <v>170</v>
      </c>
      <c r="D47" s="56" t="s">
        <v>211</v>
      </c>
      <c r="E47" s="59"/>
      <c r="F47" s="54"/>
      <c r="G47" s="60" t="s">
        <v>278</v>
      </c>
      <c r="H47" s="174">
        <f t="shared" si="0"/>
        <v>3008905</v>
      </c>
      <c r="I47" s="174" t="str">
        <f t="shared" si="1"/>
        <v>MEJ HARTINI BTE MD AMIN</v>
      </c>
      <c r="J47" s="175" t="s">
        <v>278</v>
      </c>
      <c r="K47" s="175"/>
      <c r="L47" s="175"/>
      <c r="M47" s="62"/>
      <c r="N47" s="54"/>
      <c r="O47" s="54"/>
      <c r="P47" s="60"/>
      <c r="Q47" t="str">
        <f t="shared" si="4"/>
        <v>P3008905</v>
      </c>
      <c r="R47" t="str">
        <f t="shared" si="2"/>
        <v/>
      </c>
    </row>
    <row r="48" spans="1:19" ht="70.5" customHeight="1" x14ac:dyDescent="0.25">
      <c r="A48" s="54">
        <v>42</v>
      </c>
      <c r="B48" s="55">
        <v>3008922</v>
      </c>
      <c r="C48" s="55" t="s">
        <v>170</v>
      </c>
      <c r="D48" s="56" t="s">
        <v>210</v>
      </c>
      <c r="E48" s="59"/>
      <c r="F48" s="54" t="s">
        <v>665</v>
      </c>
      <c r="G48" s="60"/>
      <c r="H48" s="174">
        <f t="shared" si="0"/>
        <v>3008922</v>
      </c>
      <c r="I48" s="174" t="str">
        <f t="shared" si="1"/>
        <v>MEJ MOHAMMAD KHAIRUL SYAWAL BIN ABDUL KARIM</v>
      </c>
      <c r="J48" s="175" t="s">
        <v>665</v>
      </c>
      <c r="K48" s="175"/>
      <c r="L48" s="175"/>
      <c r="M48" s="56"/>
      <c r="N48" s="54"/>
      <c r="O48" s="54"/>
      <c r="P48" s="60"/>
      <c r="Q48" t="str">
        <f t="shared" si="4"/>
        <v>P3008922</v>
      </c>
      <c r="R48" t="str">
        <f t="shared" si="2"/>
        <v/>
      </c>
    </row>
    <row r="49" spans="1:19" ht="69.75" customHeight="1" x14ac:dyDescent="0.25">
      <c r="A49" s="55">
        <v>43</v>
      </c>
      <c r="B49" s="55">
        <v>3011591</v>
      </c>
      <c r="C49" s="55" t="s">
        <v>170</v>
      </c>
      <c r="D49" s="56" t="s">
        <v>183</v>
      </c>
      <c r="E49" s="69"/>
      <c r="F49" s="54" t="s">
        <v>665</v>
      </c>
      <c r="G49" s="60"/>
      <c r="H49" s="174">
        <f t="shared" si="0"/>
        <v>3011591</v>
      </c>
      <c r="I49" s="174" t="str">
        <f t="shared" si="1"/>
        <v>MEJ MOHD FAKHRUL HADI BIN AHMAD SAMSURI</v>
      </c>
      <c r="J49" s="175" t="s">
        <v>665</v>
      </c>
      <c r="K49" s="175"/>
      <c r="L49" s="175"/>
      <c r="M49" s="62"/>
      <c r="N49" s="54"/>
      <c r="O49" s="54"/>
      <c r="P49" s="60"/>
      <c r="Q49" t="str">
        <f t="shared" si="4"/>
        <v>P3011591</v>
      </c>
      <c r="R49" t="str">
        <f t="shared" si="2"/>
        <v/>
      </c>
    </row>
    <row r="50" spans="1:19" ht="70.5" customHeight="1" x14ac:dyDescent="0.25">
      <c r="A50" s="54">
        <v>44</v>
      </c>
      <c r="B50" s="55">
        <v>3009729</v>
      </c>
      <c r="C50" s="55" t="s">
        <v>170</v>
      </c>
      <c r="D50" s="56" t="s">
        <v>479</v>
      </c>
      <c r="E50" s="69"/>
      <c r="F50" s="54"/>
      <c r="G50" s="60" t="s">
        <v>278</v>
      </c>
      <c r="H50" s="174">
        <f t="shared" si="0"/>
        <v>3009729</v>
      </c>
      <c r="I50" s="174" t="str">
        <f t="shared" si="1"/>
        <v>MEJ SARAH NUR AISYAH KAY BINTI ABDULLAH</v>
      </c>
      <c r="J50" s="175" t="s">
        <v>278</v>
      </c>
      <c r="K50" s="175"/>
      <c r="L50" s="175"/>
      <c r="M50" s="62" t="s">
        <v>561</v>
      </c>
      <c r="N50" s="54"/>
      <c r="O50" s="54" t="s">
        <v>665</v>
      </c>
      <c r="P50" s="60"/>
      <c r="Q50" t="str">
        <f t="shared" si="4"/>
        <v>P3009729</v>
      </c>
      <c r="R50" t="str">
        <f t="shared" si="2"/>
        <v>LT KOL MOHAMAD ARIFIN LIPIN BIN 
ABDULLAH</v>
      </c>
      <c r="S50" t="s">
        <v>665</v>
      </c>
    </row>
    <row r="51" spans="1:19" ht="56.25" customHeight="1" x14ac:dyDescent="0.25">
      <c r="A51" s="55">
        <v>45</v>
      </c>
      <c r="B51" s="55">
        <v>3012022</v>
      </c>
      <c r="C51" s="55" t="s">
        <v>170</v>
      </c>
      <c r="D51" s="56" t="s">
        <v>145</v>
      </c>
      <c r="E51" s="59" t="s">
        <v>664</v>
      </c>
      <c r="F51" s="54"/>
      <c r="G51" s="60"/>
      <c r="H51" s="174">
        <f t="shared" si="0"/>
        <v>3012022</v>
      </c>
      <c r="I51" s="174" t="str">
        <f t="shared" si="1"/>
        <v>MEJ AZRUL ANWAR BIN SHAMSUL AMBIA</v>
      </c>
      <c r="J51" s="175" t="s">
        <v>664</v>
      </c>
      <c r="K51" s="175"/>
      <c r="L51" s="175"/>
      <c r="M51" s="62"/>
      <c r="N51" s="54"/>
      <c r="O51" s="54"/>
      <c r="P51" s="60"/>
      <c r="Q51" t="str">
        <f t="shared" si="4"/>
        <v>P3012022</v>
      </c>
      <c r="R51" t="str">
        <f t="shared" si="2"/>
        <v/>
      </c>
    </row>
    <row r="52" spans="1:19" ht="59.25" customHeight="1" x14ac:dyDescent="0.25">
      <c r="A52" s="54">
        <v>46</v>
      </c>
      <c r="B52" s="55">
        <v>3009278</v>
      </c>
      <c r="C52" s="55" t="s">
        <v>170</v>
      </c>
      <c r="D52" s="56" t="s">
        <v>208</v>
      </c>
      <c r="E52" s="59"/>
      <c r="F52" s="54" t="s">
        <v>665</v>
      </c>
      <c r="G52" s="60"/>
      <c r="H52" s="174">
        <f t="shared" si="0"/>
        <v>3009278</v>
      </c>
      <c r="I52" s="174" t="str">
        <f t="shared" si="1"/>
        <v>MEJ MOHD FADHLIE BIN ZAKARIA</v>
      </c>
      <c r="J52" s="175" t="s">
        <v>665</v>
      </c>
      <c r="K52" s="175"/>
      <c r="L52" s="175"/>
      <c r="M52" s="62"/>
      <c r="N52" s="54"/>
      <c r="O52" s="54"/>
      <c r="P52" s="60"/>
      <c r="Q52" t="str">
        <f t="shared" si="4"/>
        <v>P3009278</v>
      </c>
      <c r="R52" t="str">
        <f t="shared" si="2"/>
        <v/>
      </c>
    </row>
    <row r="53" spans="1:19" ht="60" customHeight="1" x14ac:dyDescent="0.25">
      <c r="A53" s="55">
        <v>47</v>
      </c>
      <c r="B53" s="55">
        <v>3011590</v>
      </c>
      <c r="C53" s="55" t="s">
        <v>170</v>
      </c>
      <c r="D53" s="56" t="s">
        <v>184</v>
      </c>
      <c r="E53" s="59"/>
      <c r="F53" s="54" t="s">
        <v>665</v>
      </c>
      <c r="G53" s="60"/>
      <c r="H53" s="174">
        <f t="shared" si="0"/>
        <v>3011590</v>
      </c>
      <c r="I53" s="174" t="str">
        <f t="shared" si="1"/>
        <v>MEJ KHAIRUL ANUAR BIN ASISPOL BAHAR</v>
      </c>
      <c r="J53" s="175" t="s">
        <v>665</v>
      </c>
      <c r="K53" s="175"/>
      <c r="L53" s="175"/>
      <c r="M53" s="62"/>
      <c r="N53" s="54"/>
      <c r="O53" s="54"/>
      <c r="P53" s="60"/>
      <c r="Q53" t="str">
        <f t="shared" si="4"/>
        <v>P3011590</v>
      </c>
      <c r="R53" t="str">
        <f t="shared" si="2"/>
        <v/>
      </c>
    </row>
    <row r="54" spans="1:19" ht="14.4" x14ac:dyDescent="0.25">
      <c r="A54" s="54">
        <v>48</v>
      </c>
      <c r="B54" s="55">
        <v>3007993</v>
      </c>
      <c r="C54" s="55" t="s">
        <v>170</v>
      </c>
      <c r="D54" s="56" t="s">
        <v>224</v>
      </c>
      <c r="E54" s="59"/>
      <c r="F54" s="54"/>
      <c r="G54" s="60" t="s">
        <v>278</v>
      </c>
      <c r="H54" s="174">
        <f t="shared" si="0"/>
        <v>3007993</v>
      </c>
      <c r="I54" s="174" t="str">
        <f t="shared" si="1"/>
        <v>MEJ AHMAD LUFTI BIN BABA</v>
      </c>
      <c r="J54" s="175" t="s">
        <v>278</v>
      </c>
      <c r="K54" s="175"/>
      <c r="L54" s="175"/>
      <c r="M54" s="65"/>
      <c r="N54" s="54"/>
      <c r="O54" s="54"/>
      <c r="P54" s="60"/>
      <c r="Q54" t="str">
        <f t="shared" si="4"/>
        <v>P3007993</v>
      </c>
      <c r="R54" t="str">
        <f t="shared" si="2"/>
        <v/>
      </c>
    </row>
    <row r="55" spans="1:19" ht="57.75" customHeight="1" x14ac:dyDescent="0.25">
      <c r="A55" s="55">
        <v>49</v>
      </c>
      <c r="B55" s="55">
        <v>3012078</v>
      </c>
      <c r="C55" s="55" t="s">
        <v>170</v>
      </c>
      <c r="D55" s="56" t="s">
        <v>143</v>
      </c>
      <c r="E55" s="59"/>
      <c r="F55" s="54"/>
      <c r="G55" s="60" t="s">
        <v>278</v>
      </c>
      <c r="H55" s="174">
        <f t="shared" si="0"/>
        <v>3012078</v>
      </c>
      <c r="I55" s="174" t="str">
        <f t="shared" si="1"/>
        <v>MEJ HANAN BINTI BAHAROM</v>
      </c>
      <c r="J55" s="175" t="s">
        <v>278</v>
      </c>
      <c r="K55" s="175"/>
      <c r="L55" s="175"/>
      <c r="M55" s="62"/>
      <c r="N55" s="54"/>
      <c r="O55" s="54"/>
      <c r="P55" s="60"/>
      <c r="Q55" t="str">
        <f t="shared" si="4"/>
        <v>P3012078</v>
      </c>
      <c r="R55" t="str">
        <f t="shared" si="2"/>
        <v/>
      </c>
    </row>
    <row r="56" spans="1:19" ht="61.5" customHeight="1" x14ac:dyDescent="0.25">
      <c r="A56" s="54">
        <v>50</v>
      </c>
      <c r="B56" s="55">
        <v>3010051</v>
      </c>
      <c r="C56" s="55" t="s">
        <v>170</v>
      </c>
      <c r="D56" s="56" t="s">
        <v>198</v>
      </c>
      <c r="E56" s="59"/>
      <c r="F56" s="54" t="s">
        <v>665</v>
      </c>
      <c r="G56" s="60"/>
      <c r="H56" s="174">
        <f t="shared" si="0"/>
        <v>3010051</v>
      </c>
      <c r="I56" s="174" t="str">
        <f t="shared" si="1"/>
        <v>MEJ MOHD ABD HAFIZ BIN MOHD NAZRI</v>
      </c>
      <c r="J56" s="175" t="s">
        <v>665</v>
      </c>
      <c r="K56" s="175"/>
      <c r="L56" s="175"/>
      <c r="M56" s="62"/>
      <c r="N56" s="54"/>
      <c r="O56" s="54"/>
      <c r="P56" s="60"/>
      <c r="Q56" t="str">
        <f t="shared" si="4"/>
        <v>P3010051</v>
      </c>
      <c r="R56" t="str">
        <f t="shared" si="2"/>
        <v/>
      </c>
    </row>
    <row r="57" spans="1:19" ht="66.75" customHeight="1" x14ac:dyDescent="0.25">
      <c r="A57" s="55">
        <v>51</v>
      </c>
      <c r="B57" s="55">
        <v>3011296</v>
      </c>
      <c r="C57" s="55" t="s">
        <v>170</v>
      </c>
      <c r="D57" s="56" t="s">
        <v>302</v>
      </c>
      <c r="E57" s="59"/>
      <c r="F57" s="54" t="s">
        <v>665</v>
      </c>
      <c r="G57" s="60"/>
      <c r="H57" s="174">
        <f t="shared" si="0"/>
        <v>3011296</v>
      </c>
      <c r="I57" s="174" t="str">
        <f t="shared" si="1"/>
        <v>MEJ UMMI KALSOM BTE MOHD LIAS</v>
      </c>
      <c r="J57" s="175" t="s">
        <v>665</v>
      </c>
      <c r="K57" s="175"/>
      <c r="L57" s="175"/>
      <c r="M57" s="62" t="s">
        <v>542</v>
      </c>
      <c r="N57" s="54"/>
      <c r="O57" s="54"/>
      <c r="P57" s="60" t="s">
        <v>278</v>
      </c>
      <c r="Q57" t="str">
        <f t="shared" si="4"/>
        <v>P3011296</v>
      </c>
      <c r="R57" t="str">
        <f t="shared" si="2"/>
        <v>MEJ WAN MOHD AKRAM BIN HJ SAIDON</v>
      </c>
      <c r="S57" t="s">
        <v>278</v>
      </c>
    </row>
    <row r="58" spans="1:19" ht="57" customHeight="1" x14ac:dyDescent="0.25">
      <c r="A58" s="54">
        <v>52</v>
      </c>
      <c r="B58" s="55">
        <v>3013629</v>
      </c>
      <c r="C58" s="55" t="s">
        <v>170</v>
      </c>
      <c r="D58" s="56" t="s">
        <v>310</v>
      </c>
      <c r="E58" s="59" t="s">
        <v>664</v>
      </c>
      <c r="F58" s="54"/>
      <c r="G58" s="60"/>
      <c r="H58" s="174">
        <f t="shared" si="0"/>
        <v>3013629</v>
      </c>
      <c r="I58" s="174" t="str">
        <f t="shared" si="1"/>
        <v>MEJ MOHD ISMAIL BIN MAT YAHAYA</v>
      </c>
      <c r="J58" s="175" t="s">
        <v>664</v>
      </c>
      <c r="K58" s="175"/>
      <c r="L58" s="175"/>
      <c r="M58" s="62" t="s">
        <v>680</v>
      </c>
      <c r="N58" s="54" t="s">
        <v>664</v>
      </c>
      <c r="O58" s="54"/>
      <c r="P58" s="60"/>
      <c r="Q58" t="str">
        <f t="shared" si="4"/>
        <v>P3013629</v>
      </c>
      <c r="R58" t="str">
        <f t="shared" si="2"/>
        <v>PN NORAINI BINTI SALEHUDIN</v>
      </c>
      <c r="S58" t="s">
        <v>664</v>
      </c>
    </row>
    <row r="59" spans="1:19" ht="63.75" customHeight="1" x14ac:dyDescent="0.25">
      <c r="A59" s="55">
        <v>53</v>
      </c>
      <c r="B59" s="55">
        <v>3012023</v>
      </c>
      <c r="C59" s="55" t="s">
        <v>170</v>
      </c>
      <c r="D59" s="56" t="s">
        <v>180</v>
      </c>
      <c r="E59" s="59"/>
      <c r="F59" s="54" t="s">
        <v>665</v>
      </c>
      <c r="G59" s="60"/>
      <c r="H59" s="174">
        <f t="shared" si="0"/>
        <v>3012023</v>
      </c>
      <c r="I59" s="174" t="str">
        <f t="shared" si="1"/>
        <v>MEJ MOHD WAIZ LUTFI BIN ABD LATIF</v>
      </c>
      <c r="J59" s="175" t="s">
        <v>665</v>
      </c>
      <c r="K59" s="175"/>
      <c r="L59" s="175"/>
      <c r="M59" s="62" t="s">
        <v>681</v>
      </c>
      <c r="N59" s="54"/>
      <c r="O59" s="54" t="s">
        <v>665</v>
      </c>
      <c r="P59" s="60"/>
      <c r="Q59" t="str">
        <f t="shared" si="4"/>
        <v>P3012023</v>
      </c>
      <c r="R59" t="str">
        <f t="shared" si="2"/>
        <v>PN BALKIS FARHANA BINTI OTHMAN</v>
      </c>
      <c r="S59" t="s">
        <v>665</v>
      </c>
    </row>
    <row r="60" spans="1:19" ht="63.75" customHeight="1" x14ac:dyDescent="0.25">
      <c r="A60" s="54">
        <v>54</v>
      </c>
      <c r="B60" s="55">
        <v>3012024</v>
      </c>
      <c r="C60" s="55" t="s">
        <v>170</v>
      </c>
      <c r="D60" s="56" t="s">
        <v>174</v>
      </c>
      <c r="E60" s="59"/>
      <c r="F60" s="54"/>
      <c r="G60" s="60" t="s">
        <v>278</v>
      </c>
      <c r="H60" s="174">
        <f t="shared" si="0"/>
        <v>3012024</v>
      </c>
      <c r="I60" s="174" t="str">
        <f t="shared" si="1"/>
        <v>MEJ MOHAMMAD NAJIB BIN ZAKARIA</v>
      </c>
      <c r="J60" s="175" t="s">
        <v>278</v>
      </c>
      <c r="K60" s="175"/>
      <c r="L60" s="175"/>
      <c r="M60" s="62"/>
      <c r="N60" s="54"/>
      <c r="O60" s="54"/>
      <c r="P60" s="60"/>
      <c r="Q60" t="str">
        <f t="shared" si="4"/>
        <v>P3012024</v>
      </c>
      <c r="R60" t="str">
        <f t="shared" si="2"/>
        <v/>
      </c>
    </row>
    <row r="61" spans="1:19" ht="14.4" x14ac:dyDescent="0.25">
      <c r="A61" s="55">
        <v>55</v>
      </c>
      <c r="B61" s="55">
        <v>3010407</v>
      </c>
      <c r="C61" s="55" t="s">
        <v>170</v>
      </c>
      <c r="D61" s="56" t="s">
        <v>191</v>
      </c>
      <c r="E61" s="59"/>
      <c r="F61" s="54"/>
      <c r="G61" s="60" t="s">
        <v>278</v>
      </c>
      <c r="H61" s="174">
        <f t="shared" si="0"/>
        <v>3010407</v>
      </c>
      <c r="I61" s="174" t="str">
        <f t="shared" si="1"/>
        <v xml:space="preserve">MEJ SHAHIERA BTE JALALUDIN </v>
      </c>
      <c r="J61" s="175" t="s">
        <v>278</v>
      </c>
      <c r="K61" s="175"/>
      <c r="L61" s="175"/>
      <c r="M61" s="62"/>
      <c r="N61" s="54"/>
      <c r="O61" s="54"/>
      <c r="P61" s="60"/>
      <c r="Q61" t="str">
        <f t="shared" si="4"/>
        <v>P3010407</v>
      </c>
      <c r="R61" t="str">
        <f t="shared" si="2"/>
        <v/>
      </c>
    </row>
    <row r="62" spans="1:19" ht="65.25" customHeight="1" x14ac:dyDescent="0.25">
      <c r="A62" s="54">
        <v>56</v>
      </c>
      <c r="B62" s="55">
        <v>3010394</v>
      </c>
      <c r="C62" s="55" t="s">
        <v>170</v>
      </c>
      <c r="D62" s="56" t="s">
        <v>156</v>
      </c>
      <c r="E62" s="59"/>
      <c r="F62" s="54" t="s">
        <v>665</v>
      </c>
      <c r="G62" s="60"/>
      <c r="H62" s="174">
        <f t="shared" si="0"/>
        <v>3010394</v>
      </c>
      <c r="I62" s="174" t="str">
        <f t="shared" si="1"/>
        <v>MEJ NURSHUHADA BTE MOHTAR</v>
      </c>
      <c r="J62" s="175" t="s">
        <v>665</v>
      </c>
      <c r="K62" s="175"/>
      <c r="L62" s="175"/>
      <c r="M62" s="62" t="s">
        <v>540</v>
      </c>
      <c r="N62" s="54"/>
      <c r="O62" s="54"/>
      <c r="P62" s="60" t="s">
        <v>278</v>
      </c>
      <c r="Q62" t="str">
        <f t="shared" si="4"/>
        <v>P3010394</v>
      </c>
      <c r="R62" t="str">
        <f t="shared" si="2"/>
        <v>MEJ ZAWIR BIN MAHAMUD TUDM</v>
      </c>
      <c r="S62" t="s">
        <v>278</v>
      </c>
    </row>
    <row r="63" spans="1:19" ht="54" customHeight="1" x14ac:dyDescent="0.25">
      <c r="A63" s="55">
        <v>57</v>
      </c>
      <c r="B63" s="55">
        <v>3010376</v>
      </c>
      <c r="C63" s="55" t="s">
        <v>170</v>
      </c>
      <c r="D63" s="56" t="s">
        <v>332</v>
      </c>
      <c r="E63" s="59"/>
      <c r="F63" s="54" t="s">
        <v>665</v>
      </c>
      <c r="G63" s="60"/>
      <c r="H63" s="174">
        <f t="shared" si="0"/>
        <v>3010376</v>
      </c>
      <c r="I63" s="174" t="str">
        <f t="shared" si="1"/>
        <v xml:space="preserve">MEJ NOR AZREEN BTE ZAKARIA </v>
      </c>
      <c r="J63" s="175" t="s">
        <v>665</v>
      </c>
      <c r="K63" s="175"/>
      <c r="L63" s="175"/>
      <c r="M63" s="62"/>
      <c r="N63" s="54"/>
      <c r="O63" s="54"/>
      <c r="P63" s="60"/>
      <c r="Q63" t="str">
        <f t="shared" si="4"/>
        <v>P3010376</v>
      </c>
      <c r="R63" t="str">
        <f t="shared" si="2"/>
        <v/>
      </c>
    </row>
    <row r="64" spans="1:19" ht="55.5" customHeight="1" x14ac:dyDescent="0.25">
      <c r="A64" s="54">
        <v>58</v>
      </c>
      <c r="B64" s="55">
        <v>3012464</v>
      </c>
      <c r="C64" s="55" t="s">
        <v>170</v>
      </c>
      <c r="D64" s="56" t="s">
        <v>171</v>
      </c>
      <c r="E64" s="61"/>
      <c r="F64" s="54"/>
      <c r="G64" s="60" t="s">
        <v>278</v>
      </c>
      <c r="H64" s="174">
        <f t="shared" si="0"/>
        <v>3012464</v>
      </c>
      <c r="I64" s="174" t="str">
        <f t="shared" si="1"/>
        <v xml:space="preserve">MEJ SAFRI BIN USMAN </v>
      </c>
      <c r="J64" s="175" t="s">
        <v>278</v>
      </c>
      <c r="K64" s="175"/>
      <c r="L64" s="175"/>
      <c r="M64" s="62"/>
      <c r="N64" s="54"/>
      <c r="O64" s="54"/>
      <c r="P64" s="60"/>
      <c r="Q64" t="str">
        <f t="shared" si="4"/>
        <v>P3012464</v>
      </c>
      <c r="R64" t="str">
        <f t="shared" si="2"/>
        <v/>
      </c>
    </row>
    <row r="65" spans="1:19" ht="54.75" customHeight="1" x14ac:dyDescent="0.25">
      <c r="A65" s="55">
        <v>59</v>
      </c>
      <c r="B65" s="55">
        <v>3012462</v>
      </c>
      <c r="C65" s="55" t="s">
        <v>170</v>
      </c>
      <c r="D65" s="56" t="s">
        <v>168</v>
      </c>
      <c r="E65" s="69"/>
      <c r="F65" s="54" t="s">
        <v>665</v>
      </c>
      <c r="G65" s="60"/>
      <c r="H65" s="174">
        <f t="shared" si="0"/>
        <v>3012462</v>
      </c>
      <c r="I65" s="174" t="str">
        <f t="shared" si="1"/>
        <v>MEJ NURRUL ASYIKIN BINTI ZAINAL</v>
      </c>
      <c r="J65" s="175" t="s">
        <v>665</v>
      </c>
      <c r="K65" s="175"/>
      <c r="L65" s="175"/>
      <c r="M65" s="62"/>
      <c r="N65" s="54"/>
      <c r="O65" s="54"/>
      <c r="P65" s="60"/>
      <c r="Q65" t="str">
        <f t="shared" si="4"/>
        <v>P3012462</v>
      </c>
      <c r="R65" t="str">
        <f t="shared" si="2"/>
        <v/>
      </c>
    </row>
    <row r="66" spans="1:19" ht="60" customHeight="1" x14ac:dyDescent="0.25">
      <c r="A66" s="54">
        <v>60</v>
      </c>
      <c r="B66" s="55">
        <v>3011861</v>
      </c>
      <c r="C66" s="55" t="s">
        <v>170</v>
      </c>
      <c r="D66" s="56" t="s">
        <v>175</v>
      </c>
      <c r="E66" s="59"/>
      <c r="F66" s="54" t="s">
        <v>665</v>
      </c>
      <c r="G66" s="60"/>
      <c r="H66" s="174">
        <f t="shared" si="0"/>
        <v>3011861</v>
      </c>
      <c r="I66" s="174" t="str">
        <f t="shared" si="1"/>
        <v xml:space="preserve">MEJ MOHD HERMAN BIN KAMARUDIN </v>
      </c>
      <c r="J66" s="175" t="s">
        <v>665</v>
      </c>
      <c r="K66" s="175"/>
      <c r="L66" s="175"/>
      <c r="M66" s="62"/>
      <c r="N66" s="54"/>
      <c r="O66" s="54"/>
      <c r="P66" s="60"/>
      <c r="Q66" t="str">
        <f t="shared" si="4"/>
        <v>P3011861</v>
      </c>
      <c r="R66" t="str">
        <f t="shared" si="2"/>
        <v/>
      </c>
    </row>
    <row r="67" spans="1:19" ht="70.5" customHeight="1" x14ac:dyDescent="0.25">
      <c r="A67" s="55">
        <v>61</v>
      </c>
      <c r="B67" s="55">
        <v>3014070</v>
      </c>
      <c r="C67" s="55" t="s">
        <v>170</v>
      </c>
      <c r="D67" s="56" t="s">
        <v>313</v>
      </c>
      <c r="E67" s="59"/>
      <c r="F67" s="54" t="s">
        <v>665</v>
      </c>
      <c r="G67" s="60"/>
      <c r="H67" s="174">
        <f t="shared" si="0"/>
        <v>3014070</v>
      </c>
      <c r="I67" s="174" t="str">
        <f t="shared" si="1"/>
        <v xml:space="preserve">MEJ MUHAMAD AMIRUL SHAFIQ BIN MOHD AMIN </v>
      </c>
      <c r="J67" s="175" t="s">
        <v>665</v>
      </c>
      <c r="K67" s="175"/>
      <c r="L67" s="175"/>
      <c r="M67" s="76"/>
      <c r="N67" s="54"/>
      <c r="O67" s="54"/>
      <c r="P67" s="60"/>
      <c r="Q67" t="str">
        <f t="shared" si="4"/>
        <v>P3014070</v>
      </c>
      <c r="R67" t="str">
        <f t="shared" si="2"/>
        <v/>
      </c>
    </row>
    <row r="68" spans="1:19" ht="69.75" customHeight="1" x14ac:dyDescent="0.25">
      <c r="A68" s="54">
        <v>62</v>
      </c>
      <c r="B68" s="55">
        <v>3011636</v>
      </c>
      <c r="C68" s="55" t="s">
        <v>170</v>
      </c>
      <c r="D68" s="56" t="s">
        <v>488</v>
      </c>
      <c r="E68" s="59"/>
      <c r="F68" s="54" t="s">
        <v>665</v>
      </c>
      <c r="G68" s="60"/>
      <c r="H68" s="174">
        <f t="shared" si="0"/>
        <v>3011636</v>
      </c>
      <c r="I68" s="174" t="str">
        <f t="shared" si="1"/>
        <v>MEJ Ts. FIKRI HANIS BIN MD BADARUDIN</v>
      </c>
      <c r="J68" s="175" t="s">
        <v>665</v>
      </c>
      <c r="K68" s="175"/>
      <c r="L68" s="175"/>
      <c r="M68" s="62" t="s">
        <v>536</v>
      </c>
      <c r="N68" s="54"/>
      <c r="O68" s="54"/>
      <c r="P68" s="60" t="s">
        <v>278</v>
      </c>
      <c r="Q68" t="str">
        <f t="shared" si="4"/>
        <v>P3011636</v>
      </c>
      <c r="R68" t="str">
        <f t="shared" si="2"/>
        <v>PN HANA RAFIDAH BINTI HASHIM</v>
      </c>
      <c r="S68" t="s">
        <v>278</v>
      </c>
    </row>
    <row r="69" spans="1:19" ht="64.5" customHeight="1" x14ac:dyDescent="0.25">
      <c r="A69" s="55">
        <v>63</v>
      </c>
      <c r="B69" s="55">
        <v>3011701</v>
      </c>
      <c r="C69" s="55" t="s">
        <v>170</v>
      </c>
      <c r="D69" s="56" t="s">
        <v>424</v>
      </c>
      <c r="E69" s="59"/>
      <c r="F69" s="54" t="s">
        <v>665</v>
      </c>
      <c r="G69" s="60"/>
      <c r="H69" s="174">
        <f t="shared" si="0"/>
        <v>3011701</v>
      </c>
      <c r="I69" s="174" t="str">
        <f t="shared" si="1"/>
        <v>MEJ Ts. MUHAMMAD AIZAT BIN MUHAMMAD SUHAIMI</v>
      </c>
      <c r="J69" s="175" t="s">
        <v>665</v>
      </c>
      <c r="K69" s="175"/>
      <c r="L69" s="175"/>
      <c r="M69" s="77" t="s">
        <v>577</v>
      </c>
      <c r="N69" s="54"/>
      <c r="O69" s="54"/>
      <c r="P69" s="60" t="s">
        <v>278</v>
      </c>
      <c r="Q69" t="str">
        <f t="shared" si="4"/>
        <v>P3011701</v>
      </c>
      <c r="R69" t="str">
        <f t="shared" si="2"/>
        <v>MEJ MAIZATU LIYANA BINTI MOHD ZAKIDIN</v>
      </c>
      <c r="S69" t="s">
        <v>278</v>
      </c>
    </row>
    <row r="70" spans="1:19" ht="54.75" customHeight="1" x14ac:dyDescent="0.25">
      <c r="A70" s="54">
        <v>64</v>
      </c>
      <c r="B70" s="55">
        <v>3011589</v>
      </c>
      <c r="C70" s="55" t="s">
        <v>170</v>
      </c>
      <c r="D70" s="56" t="s">
        <v>186</v>
      </c>
      <c r="E70" s="59"/>
      <c r="F70" s="54" t="s">
        <v>665</v>
      </c>
      <c r="G70" s="60"/>
      <c r="H70" s="174">
        <f t="shared" si="0"/>
        <v>3011589</v>
      </c>
      <c r="I70" s="174" t="str">
        <f t="shared" si="1"/>
        <v>MEJ KHAIRUL ANWAR BIN ISMAIL</v>
      </c>
      <c r="J70" s="175" t="s">
        <v>665</v>
      </c>
      <c r="K70" s="175"/>
      <c r="L70" s="175"/>
      <c r="M70" s="62"/>
      <c r="N70" s="54"/>
      <c r="O70" s="54"/>
      <c r="P70" s="60"/>
      <c r="Q70" t="str">
        <f t="shared" si="4"/>
        <v>P3011589</v>
      </c>
      <c r="R70" t="str">
        <f t="shared" si="2"/>
        <v/>
      </c>
    </row>
    <row r="71" spans="1:19" ht="54" customHeight="1" x14ac:dyDescent="0.25">
      <c r="A71" s="55">
        <v>65</v>
      </c>
      <c r="B71" s="55">
        <v>3013642</v>
      </c>
      <c r="C71" s="55" t="s">
        <v>170</v>
      </c>
      <c r="D71" s="56" t="s">
        <v>268</v>
      </c>
      <c r="E71" s="59"/>
      <c r="F71" s="54"/>
      <c r="G71" s="60" t="s">
        <v>278</v>
      </c>
      <c r="H71" s="174">
        <f t="shared" si="0"/>
        <v>3013642</v>
      </c>
      <c r="I71" s="174" t="str">
        <f t="shared" si="1"/>
        <v xml:space="preserve">MEJ ABDUL RAZAK BIN IBRAHIM </v>
      </c>
      <c r="J71" s="175" t="s">
        <v>278</v>
      </c>
      <c r="K71" s="175"/>
      <c r="L71" s="175"/>
      <c r="M71" s="62" t="s">
        <v>682</v>
      </c>
      <c r="N71" s="54"/>
      <c r="O71" s="54" t="s">
        <v>665</v>
      </c>
      <c r="P71" s="60"/>
      <c r="Q71" t="str">
        <f t="shared" si="4"/>
        <v>P3013642</v>
      </c>
      <c r="R71" t="str">
        <f t="shared" si="2"/>
        <v>PN MARDIANA BINTI MAAROF</v>
      </c>
      <c r="S71" t="s">
        <v>665</v>
      </c>
    </row>
    <row r="72" spans="1:19" ht="65.25" customHeight="1" x14ac:dyDescent="0.25">
      <c r="A72" s="54">
        <v>66</v>
      </c>
      <c r="B72" s="55">
        <v>3011401</v>
      </c>
      <c r="C72" s="55" t="s">
        <v>170</v>
      </c>
      <c r="D72" s="56" t="s">
        <v>151</v>
      </c>
      <c r="E72" s="71"/>
      <c r="F72" s="54" t="s">
        <v>665</v>
      </c>
      <c r="G72" s="60"/>
      <c r="H72" s="174">
        <f t="shared" ref="H72:H135" si="5">B72</f>
        <v>3011401</v>
      </c>
      <c r="I72" s="174" t="str">
        <f t="shared" ref="I72:I135" si="6">CONCATENATE(C72," ",D72)</f>
        <v>MEJ MOHD AZMIL BIN BASIR</v>
      </c>
      <c r="J72" s="175" t="s">
        <v>665</v>
      </c>
      <c r="K72" s="175"/>
      <c r="L72" s="175"/>
      <c r="M72" s="62" t="s">
        <v>683</v>
      </c>
      <c r="N72" s="54"/>
      <c r="O72" s="54"/>
      <c r="P72" s="60" t="s">
        <v>278</v>
      </c>
      <c r="Q72" t="str">
        <f t="shared" si="4"/>
        <v>P3011401</v>
      </c>
      <c r="R72" t="str">
        <f t="shared" ref="R72:R135" si="7">UPPER(M72)</f>
        <v>PN NURHAZWANI BINTI AHMAD FUAD</v>
      </c>
      <c r="S72" t="s">
        <v>278</v>
      </c>
    </row>
    <row r="73" spans="1:19" ht="54.75" customHeight="1" x14ac:dyDescent="0.25">
      <c r="A73" s="55">
        <v>67</v>
      </c>
      <c r="B73" s="70">
        <v>3011288</v>
      </c>
      <c r="C73" s="70" t="s">
        <v>170</v>
      </c>
      <c r="D73" s="67" t="s">
        <v>154</v>
      </c>
      <c r="E73" s="71"/>
      <c r="F73" s="54" t="s">
        <v>665</v>
      </c>
      <c r="G73" s="60"/>
      <c r="H73" s="174">
        <f t="shared" si="5"/>
        <v>3011288</v>
      </c>
      <c r="I73" s="174" t="str">
        <f t="shared" si="6"/>
        <v>MEJ NUR DIYANA BTE CHE OMAR</v>
      </c>
      <c r="J73" s="175" t="s">
        <v>665</v>
      </c>
      <c r="K73" s="175"/>
      <c r="L73" s="175"/>
      <c r="M73" s="62"/>
      <c r="N73" s="54"/>
      <c r="O73" s="54"/>
      <c r="P73" s="60"/>
      <c r="Q73" t="str">
        <f t="shared" si="4"/>
        <v>P3011288</v>
      </c>
      <c r="R73" t="str">
        <f t="shared" si="7"/>
        <v/>
      </c>
    </row>
    <row r="74" spans="1:19" ht="61.5" customHeight="1" x14ac:dyDescent="0.3">
      <c r="A74" s="54">
        <v>68</v>
      </c>
      <c r="B74" s="55">
        <v>7518991</v>
      </c>
      <c r="C74" s="55" t="s">
        <v>170</v>
      </c>
      <c r="D74" s="56" t="s">
        <v>120</v>
      </c>
      <c r="E74" s="71" t="s">
        <v>664</v>
      </c>
      <c r="F74" s="54"/>
      <c r="G74" s="60"/>
      <c r="H74" s="174">
        <f t="shared" si="5"/>
        <v>7518991</v>
      </c>
      <c r="I74" s="174" t="str">
        <f t="shared" si="6"/>
        <v>MEJ SUNAINI BINTI MOHD ALI</v>
      </c>
      <c r="J74" s="175" t="s">
        <v>664</v>
      </c>
      <c r="K74" s="175"/>
      <c r="L74" s="175"/>
      <c r="M74" s="82"/>
      <c r="N74" s="83"/>
      <c r="O74" s="83"/>
      <c r="P74" s="84"/>
      <c r="Q74" t="str">
        <f t="shared" si="4"/>
        <v>P7518991</v>
      </c>
      <c r="R74" t="str">
        <f t="shared" si="7"/>
        <v/>
      </c>
    </row>
    <row r="75" spans="1:19" ht="65.25" customHeight="1" x14ac:dyDescent="0.25">
      <c r="A75" s="55">
        <v>69</v>
      </c>
      <c r="B75" s="54">
        <v>3012281</v>
      </c>
      <c r="C75" s="54" t="s">
        <v>170</v>
      </c>
      <c r="D75" s="74" t="s">
        <v>305</v>
      </c>
      <c r="E75" s="59"/>
      <c r="F75" s="54" t="s">
        <v>665</v>
      </c>
      <c r="G75" s="60"/>
      <c r="H75" s="174">
        <f t="shared" si="5"/>
        <v>3012281</v>
      </c>
      <c r="I75" s="174" t="str">
        <f t="shared" si="6"/>
        <v>MEJ NUR IZZATI BINTI ZAIDEL</v>
      </c>
      <c r="J75" s="175" t="s">
        <v>665</v>
      </c>
      <c r="K75" s="175"/>
      <c r="L75" s="175"/>
      <c r="M75" s="62" t="s">
        <v>548</v>
      </c>
      <c r="N75" s="54"/>
      <c r="O75" s="54"/>
      <c r="P75" s="60" t="s">
        <v>278</v>
      </c>
      <c r="Q75" t="str">
        <f t="shared" ref="Q75:Q106" si="8">CONCATENATE("P",B75)</f>
        <v>P3012281</v>
      </c>
      <c r="R75" t="str">
        <f t="shared" si="7"/>
        <v>MEJ MUHAMMAD AIZAT BIN ABDUL RAHIM</v>
      </c>
      <c r="S75" t="s">
        <v>278</v>
      </c>
    </row>
    <row r="76" spans="1:19" ht="66.75" customHeight="1" x14ac:dyDescent="0.25">
      <c r="A76" s="54">
        <v>70</v>
      </c>
      <c r="B76" s="70">
        <v>3011348</v>
      </c>
      <c r="C76" s="70" t="s">
        <v>170</v>
      </c>
      <c r="D76" s="67" t="s">
        <v>152</v>
      </c>
      <c r="E76" s="59"/>
      <c r="F76" s="54"/>
      <c r="G76" s="60" t="s">
        <v>278</v>
      </c>
      <c r="H76" s="174">
        <f t="shared" si="5"/>
        <v>3011348</v>
      </c>
      <c r="I76" s="174" t="str">
        <f t="shared" si="6"/>
        <v xml:space="preserve">MEJ AMIR HASRUL BIN HASIM </v>
      </c>
      <c r="J76" s="175" t="s">
        <v>278</v>
      </c>
      <c r="K76" s="175"/>
      <c r="L76" s="175"/>
      <c r="M76" s="62"/>
      <c r="N76" s="54"/>
      <c r="O76" s="54"/>
      <c r="P76" s="60"/>
      <c r="Q76" t="str">
        <f t="shared" si="8"/>
        <v>P3011348</v>
      </c>
      <c r="R76" t="str">
        <f t="shared" si="7"/>
        <v/>
      </c>
    </row>
    <row r="77" spans="1:19" ht="53.25" customHeight="1" x14ac:dyDescent="0.25">
      <c r="A77" s="55">
        <v>71</v>
      </c>
      <c r="B77" s="70">
        <v>3013679</v>
      </c>
      <c r="C77" s="70" t="s">
        <v>170</v>
      </c>
      <c r="D77" s="67" t="s">
        <v>133</v>
      </c>
      <c r="E77" s="59"/>
      <c r="F77" s="54" t="s">
        <v>665</v>
      </c>
      <c r="G77" s="60"/>
      <c r="H77" s="174">
        <f t="shared" si="5"/>
        <v>3013679</v>
      </c>
      <c r="I77" s="174" t="str">
        <f t="shared" si="6"/>
        <v>MEJ NUR AMERUL BIN ALIAS</v>
      </c>
      <c r="J77" s="175" t="s">
        <v>665</v>
      </c>
      <c r="K77" s="175"/>
      <c r="L77" s="175"/>
      <c r="M77" s="76"/>
      <c r="N77" s="54"/>
      <c r="O77" s="54"/>
      <c r="P77" s="60"/>
      <c r="Q77" t="str">
        <f t="shared" si="8"/>
        <v>P3013679</v>
      </c>
      <c r="R77" t="str">
        <f t="shared" si="7"/>
        <v/>
      </c>
    </row>
    <row r="78" spans="1:19" ht="61.5" customHeight="1" x14ac:dyDescent="0.25">
      <c r="A78" s="54">
        <v>72</v>
      </c>
      <c r="B78" s="55">
        <v>7517972</v>
      </c>
      <c r="C78" s="55" t="s">
        <v>170</v>
      </c>
      <c r="D78" s="56" t="s">
        <v>121</v>
      </c>
      <c r="E78" s="61"/>
      <c r="F78" s="54"/>
      <c r="G78" s="60" t="s">
        <v>278</v>
      </c>
      <c r="H78" s="174">
        <f t="shared" si="5"/>
        <v>7517972</v>
      </c>
      <c r="I78" s="174" t="str">
        <f t="shared" si="6"/>
        <v xml:space="preserve">MEJ HASRULLIZA BTE ABD HALIM </v>
      </c>
      <c r="J78" s="175" t="s">
        <v>278</v>
      </c>
      <c r="K78" s="175"/>
      <c r="L78" s="175"/>
      <c r="M78" s="62" t="s">
        <v>544</v>
      </c>
      <c r="N78" s="54"/>
      <c r="O78" s="54" t="s">
        <v>665</v>
      </c>
      <c r="P78" s="60"/>
      <c r="Q78" t="str">
        <f t="shared" si="8"/>
        <v>P7517972</v>
      </c>
      <c r="R78" t="str">
        <f t="shared" si="7"/>
        <v>MEJ MOHD FAUDZI BIN CHE HASHIM</v>
      </c>
      <c r="S78" t="s">
        <v>665</v>
      </c>
    </row>
    <row r="79" spans="1:19" ht="56.25" customHeight="1" x14ac:dyDescent="0.25">
      <c r="A79" s="55">
        <v>73</v>
      </c>
      <c r="B79" s="55">
        <v>3014047</v>
      </c>
      <c r="C79" s="55" t="s">
        <v>170</v>
      </c>
      <c r="D79" s="56" t="s">
        <v>132</v>
      </c>
      <c r="E79" s="69" t="s">
        <v>664</v>
      </c>
      <c r="F79" s="54"/>
      <c r="G79" s="60"/>
      <c r="H79" s="174">
        <f t="shared" si="5"/>
        <v>3014047</v>
      </c>
      <c r="I79" s="174" t="str">
        <f t="shared" si="6"/>
        <v xml:space="preserve">MEJ MOHAMAD SHAFIQ BIN RAMZAN </v>
      </c>
      <c r="J79" s="175" t="s">
        <v>664</v>
      </c>
      <c r="K79" s="175"/>
      <c r="L79" s="175"/>
      <c r="M79" s="62"/>
      <c r="N79" s="54"/>
      <c r="O79" s="54"/>
      <c r="P79" s="60"/>
      <c r="Q79" t="str">
        <f t="shared" si="8"/>
        <v>P3014047</v>
      </c>
      <c r="R79" t="str">
        <f t="shared" si="7"/>
        <v/>
      </c>
    </row>
    <row r="80" spans="1:19" ht="61.5" customHeight="1" x14ac:dyDescent="0.25">
      <c r="A80" s="54">
        <v>74</v>
      </c>
      <c r="B80" s="55">
        <v>3011804</v>
      </c>
      <c r="C80" s="55" t="s">
        <v>170</v>
      </c>
      <c r="D80" s="56" t="s">
        <v>148</v>
      </c>
      <c r="E80" s="69"/>
      <c r="F80" s="54"/>
      <c r="G80" s="60" t="s">
        <v>278</v>
      </c>
      <c r="H80" s="174">
        <f t="shared" si="5"/>
        <v>3011804</v>
      </c>
      <c r="I80" s="174" t="str">
        <f t="shared" si="6"/>
        <v xml:space="preserve">MEJ ZUNAIRAH BTE ISMAIL </v>
      </c>
      <c r="J80" s="175" t="s">
        <v>278</v>
      </c>
      <c r="K80" s="175"/>
      <c r="L80" s="175"/>
      <c r="M80" s="62" t="s">
        <v>535</v>
      </c>
      <c r="N80" s="54"/>
      <c r="O80" s="54" t="s">
        <v>665</v>
      </c>
      <c r="P80" s="60"/>
      <c r="Q80" t="str">
        <f t="shared" si="8"/>
        <v>P3011804</v>
      </c>
      <c r="R80" t="str">
        <f t="shared" si="7"/>
        <v>MEJ KHAIRULLIZAM BIN SARUDDIN TUDM</v>
      </c>
      <c r="S80" t="s">
        <v>665</v>
      </c>
    </row>
    <row r="81" spans="1:19" ht="62.25" customHeight="1" x14ac:dyDescent="0.25">
      <c r="A81" s="55">
        <v>75</v>
      </c>
      <c r="B81" s="55">
        <v>3013665</v>
      </c>
      <c r="C81" s="55" t="s">
        <v>170</v>
      </c>
      <c r="D81" s="56" t="s">
        <v>134</v>
      </c>
      <c r="E81" s="69" t="s">
        <v>664</v>
      </c>
      <c r="F81" s="54"/>
      <c r="G81" s="60"/>
      <c r="H81" s="174">
        <f t="shared" si="5"/>
        <v>3013665</v>
      </c>
      <c r="I81" s="174" t="str">
        <f t="shared" si="6"/>
        <v xml:space="preserve">MEJ ABDUL HAKIM BIN BUANG </v>
      </c>
      <c r="J81" s="175" t="s">
        <v>664</v>
      </c>
      <c r="K81" s="175"/>
      <c r="L81" s="175"/>
      <c r="M81" s="62" t="s">
        <v>684</v>
      </c>
      <c r="N81" s="54"/>
      <c r="O81" s="54" t="s">
        <v>665</v>
      </c>
      <c r="P81" s="60"/>
      <c r="Q81" t="str">
        <f t="shared" si="8"/>
        <v>P3013665</v>
      </c>
      <c r="R81" t="str">
        <f t="shared" si="7"/>
        <v>PN NUR IZARIEDA BINTI ZULKARNAIN</v>
      </c>
      <c r="S81" t="s">
        <v>665</v>
      </c>
    </row>
    <row r="82" spans="1:19" ht="54.75" customHeight="1" x14ac:dyDescent="0.25">
      <c r="A82" s="54">
        <v>76</v>
      </c>
      <c r="B82" s="55">
        <v>3014058</v>
      </c>
      <c r="C82" s="55" t="s">
        <v>170</v>
      </c>
      <c r="D82" s="56" t="s">
        <v>129</v>
      </c>
      <c r="E82" s="61"/>
      <c r="F82" s="54" t="s">
        <v>665</v>
      </c>
      <c r="G82" s="60"/>
      <c r="H82" s="174">
        <f t="shared" si="5"/>
        <v>3014058</v>
      </c>
      <c r="I82" s="174" t="str">
        <f t="shared" si="6"/>
        <v xml:space="preserve">MEJ MOHD FAREEZ BIN SHAFIE </v>
      </c>
      <c r="J82" s="175" t="s">
        <v>665</v>
      </c>
      <c r="K82" s="175"/>
      <c r="L82" s="175"/>
      <c r="M82" s="77"/>
      <c r="N82" s="54"/>
      <c r="O82" s="54"/>
      <c r="P82" s="60"/>
      <c r="Q82" t="str">
        <f t="shared" si="8"/>
        <v>P3014058</v>
      </c>
      <c r="R82" t="str">
        <f t="shared" si="7"/>
        <v/>
      </c>
    </row>
    <row r="83" spans="1:19" ht="55.5" customHeight="1" x14ac:dyDescent="0.25">
      <c r="A83" s="55">
        <v>77</v>
      </c>
      <c r="B83" s="55">
        <v>3012926</v>
      </c>
      <c r="C83" s="55" t="s">
        <v>170</v>
      </c>
      <c r="D83" s="62" t="s">
        <v>306</v>
      </c>
      <c r="E83" s="61"/>
      <c r="F83" s="54" t="s">
        <v>665</v>
      </c>
      <c r="G83" s="60"/>
      <c r="H83" s="174">
        <f t="shared" si="5"/>
        <v>3012926</v>
      </c>
      <c r="I83" s="174" t="str">
        <f t="shared" si="6"/>
        <v>MEJ ISMAH RASYIDAH BINTI MANSOR</v>
      </c>
      <c r="J83" s="175" t="s">
        <v>665</v>
      </c>
      <c r="K83" s="175"/>
      <c r="L83" s="175"/>
      <c r="M83" s="76"/>
      <c r="N83" s="54"/>
      <c r="O83" s="54"/>
      <c r="P83" s="60"/>
      <c r="Q83" t="str">
        <f t="shared" si="8"/>
        <v>P3012926</v>
      </c>
      <c r="R83" t="str">
        <f t="shared" si="7"/>
        <v/>
      </c>
    </row>
    <row r="84" spans="1:19" ht="48" customHeight="1" x14ac:dyDescent="0.25">
      <c r="A84" s="54">
        <v>78</v>
      </c>
      <c r="B84" s="54">
        <v>3009507</v>
      </c>
      <c r="C84" s="55" t="s">
        <v>170</v>
      </c>
      <c r="D84" s="74" t="s">
        <v>161</v>
      </c>
      <c r="E84" s="61"/>
      <c r="F84" s="54"/>
      <c r="G84" s="60" t="s">
        <v>278</v>
      </c>
      <c r="H84" s="174">
        <f t="shared" si="5"/>
        <v>3009507</v>
      </c>
      <c r="I84" s="174" t="str">
        <f t="shared" si="6"/>
        <v>MEJ NOOR ERMA SUZIANA BTE ABD MALIK</v>
      </c>
      <c r="J84" s="175" t="s">
        <v>278</v>
      </c>
      <c r="K84" s="175"/>
      <c r="L84" s="175"/>
      <c r="M84" s="62"/>
      <c r="N84" s="54"/>
      <c r="O84" s="54"/>
      <c r="P84" s="60"/>
      <c r="Q84" t="str">
        <f t="shared" si="8"/>
        <v>P3009507</v>
      </c>
      <c r="R84" t="str">
        <f t="shared" si="7"/>
        <v/>
      </c>
    </row>
    <row r="85" spans="1:19" ht="50.25" customHeight="1" x14ac:dyDescent="0.25">
      <c r="A85" s="55">
        <v>79</v>
      </c>
      <c r="B85" s="55">
        <v>3013051</v>
      </c>
      <c r="C85" s="55" t="s">
        <v>170</v>
      </c>
      <c r="D85" s="56" t="s">
        <v>136</v>
      </c>
      <c r="E85" s="61" t="s">
        <v>664</v>
      </c>
      <c r="F85" s="54"/>
      <c r="G85" s="60"/>
      <c r="H85" s="174">
        <f t="shared" si="5"/>
        <v>3013051</v>
      </c>
      <c r="I85" s="174" t="str">
        <f t="shared" si="6"/>
        <v>MEJ NOR AYUNI BINTI BAHARON</v>
      </c>
      <c r="J85" s="175" t="s">
        <v>664</v>
      </c>
      <c r="K85" s="175"/>
      <c r="L85" s="175"/>
      <c r="M85" s="62"/>
      <c r="N85" s="54"/>
      <c r="O85" s="54"/>
      <c r="P85" s="60"/>
      <c r="Q85" t="str">
        <f t="shared" si="8"/>
        <v>P3013051</v>
      </c>
      <c r="R85" t="str">
        <f t="shared" si="7"/>
        <v/>
      </c>
    </row>
    <row r="86" spans="1:19" ht="51.75" customHeight="1" x14ac:dyDescent="0.25">
      <c r="A86" s="54">
        <v>80</v>
      </c>
      <c r="B86" s="55">
        <v>3013044</v>
      </c>
      <c r="C86" s="55" t="s">
        <v>170</v>
      </c>
      <c r="D86" s="56" t="s">
        <v>307</v>
      </c>
      <c r="E86" s="89"/>
      <c r="F86" s="54" t="s">
        <v>665</v>
      </c>
      <c r="G86" s="60"/>
      <c r="H86" s="174">
        <f t="shared" si="5"/>
        <v>3013044</v>
      </c>
      <c r="I86" s="174" t="str">
        <f t="shared" si="6"/>
        <v>MEJ MUHAMMAD ZAMIR BIN ROSLAN</v>
      </c>
      <c r="J86" s="175" t="s">
        <v>665</v>
      </c>
      <c r="K86" s="175"/>
      <c r="L86" s="175"/>
      <c r="M86" s="62"/>
      <c r="N86" s="54"/>
      <c r="O86" s="54"/>
      <c r="P86" s="60"/>
      <c r="Q86" t="str">
        <f t="shared" si="8"/>
        <v>P3013044</v>
      </c>
      <c r="R86" t="str">
        <f t="shared" si="7"/>
        <v/>
      </c>
    </row>
    <row r="87" spans="1:19" ht="52.5" customHeight="1" x14ac:dyDescent="0.3">
      <c r="A87" s="55">
        <v>81</v>
      </c>
      <c r="B87" s="54">
        <v>3014807</v>
      </c>
      <c r="C87" s="54" t="s">
        <v>170</v>
      </c>
      <c r="D87" s="74" t="s">
        <v>125</v>
      </c>
      <c r="E87" s="59" t="s">
        <v>664</v>
      </c>
      <c r="F87" s="83"/>
      <c r="G87" s="84"/>
      <c r="H87" s="174">
        <f t="shared" si="5"/>
        <v>3014807</v>
      </c>
      <c r="I87" s="174" t="str">
        <f t="shared" si="6"/>
        <v>MEJ NOORKHALEEDA BINTI ABDUL HADI</v>
      </c>
      <c r="J87" s="175" t="s">
        <v>664</v>
      </c>
      <c r="K87" s="176"/>
      <c r="L87" s="176"/>
      <c r="M87" s="82"/>
      <c r="N87" s="83"/>
      <c r="O87" s="83"/>
      <c r="P87" s="84"/>
      <c r="Q87" t="str">
        <f t="shared" si="8"/>
        <v>P3014807</v>
      </c>
      <c r="R87" t="str">
        <f t="shared" si="7"/>
        <v/>
      </c>
    </row>
    <row r="88" spans="1:19" ht="53.25" customHeight="1" x14ac:dyDescent="0.25">
      <c r="A88" s="54">
        <v>82</v>
      </c>
      <c r="B88" s="55">
        <v>3013250</v>
      </c>
      <c r="C88" s="55" t="s">
        <v>170</v>
      </c>
      <c r="D88" s="56" t="s">
        <v>308</v>
      </c>
      <c r="E88" s="69"/>
      <c r="F88" s="54" t="s">
        <v>665</v>
      </c>
      <c r="G88" s="60"/>
      <c r="H88" s="174">
        <f t="shared" si="5"/>
        <v>3013250</v>
      </c>
      <c r="I88" s="174" t="str">
        <f t="shared" si="6"/>
        <v>MEJ ADAM BIN YUSOH</v>
      </c>
      <c r="J88" s="175" t="s">
        <v>665</v>
      </c>
      <c r="K88" s="175"/>
      <c r="L88" s="175"/>
      <c r="M88" s="62"/>
      <c r="N88" s="54"/>
      <c r="O88" s="54"/>
      <c r="P88" s="60"/>
      <c r="Q88" t="str">
        <f t="shared" si="8"/>
        <v>P3013250</v>
      </c>
      <c r="R88" t="str">
        <f t="shared" si="7"/>
        <v/>
      </c>
    </row>
    <row r="89" spans="1:19" ht="57" customHeight="1" x14ac:dyDescent="0.25">
      <c r="A89" s="55">
        <v>83</v>
      </c>
      <c r="B89" s="55">
        <v>3009166</v>
      </c>
      <c r="C89" s="55" t="s">
        <v>74</v>
      </c>
      <c r="D89" s="56" t="s">
        <v>163</v>
      </c>
      <c r="E89" s="69" t="s">
        <v>664</v>
      </c>
      <c r="F89" s="54"/>
      <c r="G89" s="60"/>
      <c r="H89" s="174">
        <f t="shared" si="5"/>
        <v>3009166</v>
      </c>
      <c r="I89" s="174" t="str">
        <f t="shared" si="6"/>
        <v>KAPT MARIAM BINTI NAAM</v>
      </c>
      <c r="J89" s="175" t="s">
        <v>664</v>
      </c>
      <c r="K89" s="175"/>
      <c r="L89" s="175"/>
      <c r="M89" s="62" t="s">
        <v>545</v>
      </c>
      <c r="N89" s="54"/>
      <c r="O89" s="54" t="s">
        <v>665</v>
      </c>
      <c r="P89" s="60"/>
      <c r="Q89" t="str">
        <f t="shared" si="8"/>
        <v>P3009166</v>
      </c>
      <c r="R89" t="str">
        <f t="shared" si="7"/>
        <v>MEJ MOHD SAMSUL BIN ABDUL AZIZ</v>
      </c>
      <c r="S89" t="s">
        <v>665</v>
      </c>
    </row>
    <row r="90" spans="1:19" ht="52.5" customHeight="1" x14ac:dyDescent="0.25">
      <c r="A90" s="54">
        <v>84</v>
      </c>
      <c r="B90" s="55">
        <v>3014790</v>
      </c>
      <c r="C90" s="55" t="s">
        <v>74</v>
      </c>
      <c r="D90" s="56" t="s">
        <v>490</v>
      </c>
      <c r="E90" s="59" t="s">
        <v>664</v>
      </c>
      <c r="F90" s="54"/>
      <c r="G90" s="60"/>
      <c r="H90" s="174">
        <f t="shared" si="5"/>
        <v>3014790</v>
      </c>
      <c r="I90" s="174" t="str">
        <f t="shared" si="6"/>
        <v>KAPT SANUSI BIN MOHD NOOR</v>
      </c>
      <c r="J90" s="175" t="s">
        <v>664</v>
      </c>
      <c r="K90" s="175"/>
      <c r="L90" s="175"/>
      <c r="M90" s="62" t="s">
        <v>567</v>
      </c>
      <c r="N90" s="54"/>
      <c r="O90" s="54"/>
      <c r="P90" s="60" t="s">
        <v>278</v>
      </c>
      <c r="Q90" t="str">
        <f t="shared" si="8"/>
        <v>P3014790</v>
      </c>
      <c r="R90" t="str">
        <f t="shared" si="7"/>
        <v>LT SITI NURAISYAH BINTI MD SIDEK</v>
      </c>
      <c r="S90" t="s">
        <v>278</v>
      </c>
    </row>
    <row r="91" spans="1:19" ht="58.5" customHeight="1" x14ac:dyDescent="0.25">
      <c r="A91" s="55">
        <v>85</v>
      </c>
      <c r="B91" s="55">
        <v>7526905</v>
      </c>
      <c r="C91" s="55" t="s">
        <v>74</v>
      </c>
      <c r="D91" s="56" t="s">
        <v>491</v>
      </c>
      <c r="E91" s="69"/>
      <c r="F91" s="54" t="s">
        <v>665</v>
      </c>
      <c r="G91" s="60"/>
      <c r="H91" s="174">
        <f t="shared" si="5"/>
        <v>7526905</v>
      </c>
      <c r="I91" s="174" t="str">
        <f t="shared" si="6"/>
        <v>KAPT AZZRUL HAFIEZ BIN HUSIN</v>
      </c>
      <c r="J91" s="175" t="s">
        <v>665</v>
      </c>
      <c r="K91" s="175"/>
      <c r="L91" s="175"/>
      <c r="M91" s="62" t="s">
        <v>546</v>
      </c>
      <c r="N91" s="54"/>
      <c r="O91" s="54" t="s">
        <v>665</v>
      </c>
      <c r="P91" s="60"/>
      <c r="Q91" t="str">
        <f t="shared" si="8"/>
        <v>P7526905</v>
      </c>
      <c r="R91" t="str">
        <f t="shared" si="7"/>
        <v>KAPT NURFARAHIN BINTI MOHD MOKHTAR</v>
      </c>
      <c r="S91" t="s">
        <v>665</v>
      </c>
    </row>
    <row r="92" spans="1:19" ht="54.75" customHeight="1" x14ac:dyDescent="0.25">
      <c r="A92" s="54">
        <v>86</v>
      </c>
      <c r="B92" s="54">
        <v>7526077</v>
      </c>
      <c r="C92" s="54" t="s">
        <v>74</v>
      </c>
      <c r="D92" s="74" t="s">
        <v>344</v>
      </c>
      <c r="E92" s="69"/>
      <c r="F92" s="54"/>
      <c r="G92" s="60" t="s">
        <v>278</v>
      </c>
      <c r="H92" s="174">
        <f t="shared" si="5"/>
        <v>7526077</v>
      </c>
      <c r="I92" s="174" t="str">
        <f t="shared" si="6"/>
        <v>KAPT NUR SHYIDA BINTI SAZALI</v>
      </c>
      <c r="J92" s="175" t="s">
        <v>278</v>
      </c>
      <c r="K92" s="175"/>
      <c r="L92" s="175"/>
      <c r="M92" s="62" t="s">
        <v>564</v>
      </c>
      <c r="N92" s="54"/>
      <c r="O92" s="54" t="s">
        <v>665</v>
      </c>
      <c r="P92" s="60"/>
      <c r="Q92" t="str">
        <f t="shared" si="8"/>
        <v>P7526077</v>
      </c>
      <c r="R92" t="str">
        <f t="shared" si="7"/>
        <v>MEJ NURAKMAL BIN HASSAN</v>
      </c>
      <c r="S92" t="s">
        <v>665</v>
      </c>
    </row>
    <row r="93" spans="1:19" ht="54" customHeight="1" x14ac:dyDescent="0.25">
      <c r="A93" s="55">
        <v>87</v>
      </c>
      <c r="B93" s="54">
        <v>7516681</v>
      </c>
      <c r="C93" s="54" t="s">
        <v>74</v>
      </c>
      <c r="D93" s="78" t="s">
        <v>122</v>
      </c>
      <c r="E93" s="69"/>
      <c r="F93" s="54" t="s">
        <v>665</v>
      </c>
      <c r="G93" s="60"/>
      <c r="H93" s="174">
        <f t="shared" si="5"/>
        <v>7516681</v>
      </c>
      <c r="I93" s="174" t="str">
        <f t="shared" si="6"/>
        <v>KAPT ALIZA BTE HJ ABD RAHMAN</v>
      </c>
      <c r="J93" s="175" t="s">
        <v>665</v>
      </c>
      <c r="K93" s="175"/>
      <c r="L93" s="175"/>
      <c r="M93" s="62"/>
      <c r="N93" s="54"/>
      <c r="O93" s="54"/>
      <c r="P93" s="60"/>
      <c r="Q93" t="str">
        <f t="shared" si="8"/>
        <v>P7516681</v>
      </c>
      <c r="R93" t="str">
        <f t="shared" si="7"/>
        <v/>
      </c>
    </row>
    <row r="94" spans="1:19" ht="51" customHeight="1" x14ac:dyDescent="0.25">
      <c r="A94" s="54">
        <v>88</v>
      </c>
      <c r="B94" s="54">
        <v>3007758</v>
      </c>
      <c r="C94" s="54" t="s">
        <v>74</v>
      </c>
      <c r="D94" s="77" t="s">
        <v>166</v>
      </c>
      <c r="E94" s="59"/>
      <c r="F94" s="54" t="s">
        <v>665</v>
      </c>
      <c r="G94" s="60"/>
      <c r="H94" s="174">
        <f t="shared" si="5"/>
        <v>3007758</v>
      </c>
      <c r="I94" s="174" t="str">
        <f t="shared" si="6"/>
        <v>KAPT MOHD IRWANDY BIN ABDUL RAHIM</v>
      </c>
      <c r="J94" s="175" t="s">
        <v>665</v>
      </c>
      <c r="K94" s="175"/>
      <c r="L94" s="175"/>
      <c r="M94" s="62" t="s">
        <v>685</v>
      </c>
      <c r="N94" s="54"/>
      <c r="O94" s="54"/>
      <c r="P94" s="60" t="s">
        <v>278</v>
      </c>
      <c r="Q94" t="str">
        <f t="shared" si="8"/>
        <v>P3007758</v>
      </c>
      <c r="R94" t="str">
        <f t="shared" si="7"/>
        <v>PN PUSPALAILY BINTI ISHAK</v>
      </c>
      <c r="S94" t="s">
        <v>278</v>
      </c>
    </row>
    <row r="95" spans="1:19" ht="53.25" customHeight="1" x14ac:dyDescent="0.25">
      <c r="A95" s="55">
        <v>89</v>
      </c>
      <c r="B95" s="54">
        <v>3007876</v>
      </c>
      <c r="C95" s="54" t="s">
        <v>74</v>
      </c>
      <c r="D95" s="77" t="s">
        <v>165</v>
      </c>
      <c r="E95" s="69"/>
      <c r="F95" s="54"/>
      <c r="G95" s="60" t="s">
        <v>278</v>
      </c>
      <c r="H95" s="174">
        <f t="shared" si="5"/>
        <v>3007876</v>
      </c>
      <c r="I95" s="174" t="str">
        <f t="shared" si="6"/>
        <v>KAPT MALINA BTE MOHAMAD ROSBI</v>
      </c>
      <c r="J95" s="175" t="s">
        <v>278</v>
      </c>
      <c r="K95" s="175"/>
      <c r="L95" s="175"/>
      <c r="M95" s="62"/>
      <c r="N95" s="54"/>
      <c r="O95" s="54"/>
      <c r="P95" s="60"/>
      <c r="Q95" t="str">
        <f t="shared" si="8"/>
        <v>P3007876</v>
      </c>
      <c r="R95" t="str">
        <f t="shared" si="7"/>
        <v/>
      </c>
    </row>
    <row r="96" spans="1:19" ht="50.25" customHeight="1" x14ac:dyDescent="0.25">
      <c r="A96" s="54">
        <v>90</v>
      </c>
      <c r="B96" s="55">
        <v>3013754</v>
      </c>
      <c r="C96" s="55" t="s">
        <v>74</v>
      </c>
      <c r="D96" s="56" t="s">
        <v>102</v>
      </c>
      <c r="E96" s="69" t="s">
        <v>664</v>
      </c>
      <c r="F96" s="54"/>
      <c r="G96" s="60"/>
      <c r="H96" s="174">
        <f t="shared" si="5"/>
        <v>3013754</v>
      </c>
      <c r="I96" s="174" t="str">
        <f t="shared" si="6"/>
        <v>KAPT KOSHILA A/P APPLANNAIDOO</v>
      </c>
      <c r="J96" s="175" t="s">
        <v>664</v>
      </c>
      <c r="K96" s="175"/>
      <c r="L96" s="175"/>
      <c r="M96" s="62"/>
      <c r="N96" s="54"/>
      <c r="O96" s="54"/>
      <c r="P96" s="60"/>
      <c r="Q96" t="str">
        <f t="shared" si="8"/>
        <v>P3013754</v>
      </c>
      <c r="R96" t="str">
        <f t="shared" si="7"/>
        <v/>
      </c>
    </row>
    <row r="97" spans="1:19" ht="52.5" customHeight="1" x14ac:dyDescent="0.25">
      <c r="A97" s="55">
        <v>91</v>
      </c>
      <c r="B97" s="55">
        <v>3013482</v>
      </c>
      <c r="C97" s="55" t="s">
        <v>74</v>
      </c>
      <c r="D97" s="56" t="s">
        <v>95</v>
      </c>
      <c r="E97" s="87"/>
      <c r="F97" s="54"/>
      <c r="G97" s="60" t="s">
        <v>278</v>
      </c>
      <c r="H97" s="174">
        <f t="shared" si="5"/>
        <v>3013482</v>
      </c>
      <c r="I97" s="174" t="str">
        <f t="shared" si="6"/>
        <v>KAPT NUR SHARMIZA BINTI NAZURI</v>
      </c>
      <c r="J97" s="175" t="s">
        <v>278</v>
      </c>
      <c r="K97" s="175"/>
      <c r="L97" s="175"/>
      <c r="M97" s="76"/>
      <c r="N97" s="54"/>
      <c r="O97" s="54"/>
      <c r="P97" s="60"/>
      <c r="Q97" t="str">
        <f t="shared" si="8"/>
        <v>P3013482</v>
      </c>
      <c r="R97" t="str">
        <f t="shared" si="7"/>
        <v/>
      </c>
    </row>
    <row r="98" spans="1:19" ht="51" customHeight="1" x14ac:dyDescent="0.25">
      <c r="A98" s="54">
        <v>92</v>
      </c>
      <c r="B98" s="54">
        <v>3013664</v>
      </c>
      <c r="C98" s="54" t="s">
        <v>74</v>
      </c>
      <c r="D98" s="78" t="s">
        <v>320</v>
      </c>
      <c r="E98" s="59" t="s">
        <v>664</v>
      </c>
      <c r="F98" s="54"/>
      <c r="G98" s="60"/>
      <c r="H98" s="174">
        <f t="shared" si="5"/>
        <v>3013664</v>
      </c>
      <c r="I98" s="174" t="str">
        <f t="shared" si="6"/>
        <v>KAPT RAJADURAI A/L PALANIAPPEN</v>
      </c>
      <c r="J98" s="175" t="s">
        <v>664</v>
      </c>
      <c r="K98" s="175"/>
      <c r="L98" s="175"/>
      <c r="M98" s="62"/>
      <c r="N98" s="54"/>
      <c r="O98" s="54"/>
      <c r="P98" s="60"/>
      <c r="Q98" t="str">
        <f t="shared" si="8"/>
        <v>P3013664</v>
      </c>
      <c r="R98" t="str">
        <f t="shared" si="7"/>
        <v/>
      </c>
    </row>
    <row r="99" spans="1:19" ht="55.5" customHeight="1" x14ac:dyDescent="0.3">
      <c r="A99" s="55">
        <v>93</v>
      </c>
      <c r="B99" s="54">
        <v>7520898</v>
      </c>
      <c r="C99" s="54" t="s">
        <v>74</v>
      </c>
      <c r="D99" s="78" t="s">
        <v>116</v>
      </c>
      <c r="E99" s="87"/>
      <c r="F99" s="54" t="s">
        <v>665</v>
      </c>
      <c r="G99" s="60"/>
      <c r="H99" s="174">
        <f t="shared" si="5"/>
        <v>7520898</v>
      </c>
      <c r="I99" s="174" t="str">
        <f t="shared" si="6"/>
        <v>KAPT NABILAH BINTI ABDULLAH</v>
      </c>
      <c r="J99" s="175" t="s">
        <v>665</v>
      </c>
      <c r="K99" s="175"/>
      <c r="L99" s="175"/>
      <c r="M99" s="82"/>
      <c r="N99" s="83"/>
      <c r="O99" s="83"/>
      <c r="P99" s="84"/>
      <c r="Q99" t="str">
        <f t="shared" si="8"/>
        <v>P7520898</v>
      </c>
      <c r="R99" t="str">
        <f t="shared" si="7"/>
        <v/>
      </c>
    </row>
    <row r="100" spans="1:19" ht="49.5" customHeight="1" x14ac:dyDescent="0.25">
      <c r="A100" s="54">
        <v>94</v>
      </c>
      <c r="B100" s="54">
        <v>3014288</v>
      </c>
      <c r="C100" s="54" t="s">
        <v>74</v>
      </c>
      <c r="D100" s="78" t="s">
        <v>315</v>
      </c>
      <c r="E100" s="61"/>
      <c r="F100" s="54" t="s">
        <v>665</v>
      </c>
      <c r="G100" s="60"/>
      <c r="H100" s="174">
        <f t="shared" si="5"/>
        <v>3014288</v>
      </c>
      <c r="I100" s="174" t="str">
        <f t="shared" si="6"/>
        <v>KAPT ASNIDAR BINTI MOHAMMAD SAID</v>
      </c>
      <c r="J100" s="175" t="s">
        <v>665</v>
      </c>
      <c r="K100" s="175"/>
      <c r="L100" s="175"/>
      <c r="M100" s="62"/>
      <c r="N100" s="54"/>
      <c r="O100" s="54"/>
      <c r="P100" s="60"/>
      <c r="Q100" t="str">
        <f t="shared" si="8"/>
        <v>P3014288</v>
      </c>
      <c r="R100" t="str">
        <f t="shared" si="7"/>
        <v/>
      </c>
    </row>
    <row r="101" spans="1:19" ht="51.75" customHeight="1" x14ac:dyDescent="0.3">
      <c r="A101" s="55">
        <v>95</v>
      </c>
      <c r="B101" s="54">
        <v>3014295</v>
      </c>
      <c r="C101" s="54" t="s">
        <v>74</v>
      </c>
      <c r="D101" s="78" t="s">
        <v>86</v>
      </c>
      <c r="E101" s="87"/>
      <c r="F101" s="83"/>
      <c r="G101" s="84" t="s">
        <v>278</v>
      </c>
      <c r="H101" s="174">
        <f t="shared" si="5"/>
        <v>3014295</v>
      </c>
      <c r="I101" s="174" t="str">
        <f t="shared" si="6"/>
        <v>KAPT FATIN FARISYA BINTI SOBRI</v>
      </c>
      <c r="J101" s="175" t="s">
        <v>278</v>
      </c>
      <c r="K101" s="176"/>
      <c r="L101" s="176"/>
      <c r="M101" s="82"/>
      <c r="N101" s="83"/>
      <c r="O101" s="83"/>
      <c r="P101" s="84"/>
      <c r="Q101" t="str">
        <f t="shared" si="8"/>
        <v>P3014295</v>
      </c>
      <c r="R101" t="str">
        <f t="shared" si="7"/>
        <v/>
      </c>
    </row>
    <row r="102" spans="1:19" ht="51.75" customHeight="1" x14ac:dyDescent="0.25">
      <c r="A102" s="54">
        <v>96</v>
      </c>
      <c r="B102" s="54">
        <v>3014299</v>
      </c>
      <c r="C102" s="54" t="s">
        <v>74</v>
      </c>
      <c r="D102" s="78" t="s">
        <v>76</v>
      </c>
      <c r="E102" s="85"/>
      <c r="F102" s="54"/>
      <c r="G102" s="60" t="s">
        <v>278</v>
      </c>
      <c r="H102" s="174">
        <f t="shared" si="5"/>
        <v>3014299</v>
      </c>
      <c r="I102" s="174" t="str">
        <f t="shared" si="6"/>
        <v>KAPT JENNY LUYAH ANAK SIEW</v>
      </c>
      <c r="J102" s="175" t="s">
        <v>278</v>
      </c>
      <c r="K102" s="175"/>
      <c r="L102" s="175"/>
      <c r="M102" s="62"/>
      <c r="N102" s="54"/>
      <c r="O102" s="54"/>
      <c r="P102" s="60"/>
      <c r="Q102" t="str">
        <f t="shared" si="8"/>
        <v>P3014299</v>
      </c>
      <c r="R102" t="str">
        <f t="shared" si="7"/>
        <v/>
      </c>
    </row>
    <row r="103" spans="1:19" ht="52.5" customHeight="1" x14ac:dyDescent="0.25">
      <c r="A103" s="55">
        <v>97</v>
      </c>
      <c r="B103" s="54">
        <v>3014312</v>
      </c>
      <c r="C103" s="54" t="s">
        <v>74</v>
      </c>
      <c r="D103" s="77" t="s">
        <v>67</v>
      </c>
      <c r="E103" s="61"/>
      <c r="F103" s="54" t="s">
        <v>665</v>
      </c>
      <c r="G103" s="60"/>
      <c r="H103" s="174">
        <f t="shared" si="5"/>
        <v>3014312</v>
      </c>
      <c r="I103" s="174" t="str">
        <f t="shared" si="6"/>
        <v>KAPT NUHA NABIHAH BINTI AZAHARI</v>
      </c>
      <c r="J103" s="175" t="s">
        <v>665</v>
      </c>
      <c r="K103" s="175"/>
      <c r="L103" s="175"/>
      <c r="M103" s="62"/>
      <c r="N103" s="54"/>
      <c r="O103" s="54"/>
      <c r="P103" s="60"/>
      <c r="Q103" t="str">
        <f t="shared" si="8"/>
        <v>P3014312</v>
      </c>
      <c r="R103" t="str">
        <f t="shared" si="7"/>
        <v/>
      </c>
    </row>
    <row r="104" spans="1:19" ht="53.25" customHeight="1" x14ac:dyDescent="0.25">
      <c r="A104" s="54">
        <v>98</v>
      </c>
      <c r="B104" s="54">
        <v>3014335</v>
      </c>
      <c r="C104" s="54" t="s">
        <v>74</v>
      </c>
      <c r="D104" s="77" t="s">
        <v>92</v>
      </c>
      <c r="E104" s="61"/>
      <c r="F104" s="54" t="s">
        <v>665</v>
      </c>
      <c r="G104" s="60"/>
      <c r="H104" s="174">
        <f t="shared" si="5"/>
        <v>3014335</v>
      </c>
      <c r="I104" s="174" t="str">
        <f t="shared" si="6"/>
        <v>KAPT NUR SYAFIZUANA AMIRA BINTI ZULKHIBRI</v>
      </c>
      <c r="J104" s="175" t="s">
        <v>665</v>
      </c>
      <c r="K104" s="175"/>
      <c r="L104" s="175"/>
      <c r="M104" s="62"/>
      <c r="N104" s="54"/>
      <c r="O104" s="54"/>
      <c r="P104" s="60"/>
      <c r="Q104" t="str">
        <f t="shared" si="8"/>
        <v>P3014335</v>
      </c>
      <c r="R104" t="str">
        <f t="shared" si="7"/>
        <v/>
      </c>
    </row>
    <row r="105" spans="1:19" ht="53.25" customHeight="1" x14ac:dyDescent="0.25">
      <c r="A105" s="55">
        <v>99</v>
      </c>
      <c r="B105" s="54">
        <v>3014345</v>
      </c>
      <c r="C105" s="54" t="s">
        <v>74</v>
      </c>
      <c r="D105" s="62" t="s">
        <v>79</v>
      </c>
      <c r="E105" s="59" t="s">
        <v>664</v>
      </c>
      <c r="F105" s="54"/>
      <c r="G105" s="60"/>
      <c r="H105" s="174">
        <f t="shared" si="5"/>
        <v>3014345</v>
      </c>
      <c r="I105" s="174" t="str">
        <f t="shared" si="6"/>
        <v>KAPT NURUL HIDAYAH BINTI MUHAMAD FADZLI</v>
      </c>
      <c r="J105" s="175" t="s">
        <v>664</v>
      </c>
      <c r="K105" s="175"/>
      <c r="L105" s="175"/>
      <c r="M105" s="62"/>
      <c r="N105" s="54"/>
      <c r="O105" s="54"/>
      <c r="P105" s="60"/>
      <c r="Q105" t="str">
        <f t="shared" si="8"/>
        <v>P3014345</v>
      </c>
      <c r="R105" t="str">
        <f t="shared" si="7"/>
        <v/>
      </c>
    </row>
    <row r="106" spans="1:19" ht="52.5" customHeight="1" x14ac:dyDescent="0.25">
      <c r="A106" s="54">
        <v>100</v>
      </c>
      <c r="B106" s="55">
        <v>7526134</v>
      </c>
      <c r="C106" s="55" t="s">
        <v>74</v>
      </c>
      <c r="D106" s="56" t="s">
        <v>50</v>
      </c>
      <c r="E106" s="59"/>
      <c r="F106" s="54" t="s">
        <v>665</v>
      </c>
      <c r="G106" s="60"/>
      <c r="H106" s="174">
        <f t="shared" si="5"/>
        <v>7526134</v>
      </c>
      <c r="I106" s="174" t="str">
        <f t="shared" si="6"/>
        <v>KAPT NUR AIN ASYIKIN BINTI KHAIRUNNAIM</v>
      </c>
      <c r="J106" s="175" t="s">
        <v>665</v>
      </c>
      <c r="K106" s="175"/>
      <c r="L106" s="175"/>
      <c r="M106" s="62"/>
      <c r="N106" s="54"/>
      <c r="O106" s="54"/>
      <c r="P106" s="60"/>
      <c r="Q106" t="str">
        <f t="shared" si="8"/>
        <v>P7526134</v>
      </c>
      <c r="R106" t="str">
        <f t="shared" si="7"/>
        <v/>
      </c>
    </row>
    <row r="107" spans="1:19" ht="53.25" customHeight="1" x14ac:dyDescent="0.25">
      <c r="A107" s="55">
        <v>101</v>
      </c>
      <c r="B107" s="54">
        <v>3015491</v>
      </c>
      <c r="C107" s="54" t="s">
        <v>74</v>
      </c>
      <c r="D107" s="77" t="s">
        <v>500</v>
      </c>
      <c r="E107" s="61"/>
      <c r="F107" s="54" t="s">
        <v>665</v>
      </c>
      <c r="G107" s="60"/>
      <c r="H107" s="174">
        <f t="shared" si="5"/>
        <v>3015491</v>
      </c>
      <c r="I107" s="174" t="str">
        <f t="shared" si="6"/>
        <v xml:space="preserve">KAPT SYAMIER AFIQ BIN ZAINAL ABIDIN </v>
      </c>
      <c r="J107" s="175" t="s">
        <v>665</v>
      </c>
      <c r="K107" s="175"/>
      <c r="L107" s="175"/>
      <c r="M107" s="62" t="s">
        <v>686</v>
      </c>
      <c r="N107" s="54"/>
      <c r="O107" s="54" t="s">
        <v>665</v>
      </c>
      <c r="P107" s="60"/>
      <c r="Q107" t="str">
        <f t="shared" ref="Q107:Q138" si="9">CONCATENATE("P",B107)</f>
        <v>P3015491</v>
      </c>
      <c r="R107" t="str">
        <f t="shared" si="7"/>
        <v>PN NUR ANIAH BINTI MOHAMAD SHAHRIL</v>
      </c>
      <c r="S107" t="s">
        <v>665</v>
      </c>
    </row>
    <row r="108" spans="1:19" ht="53.25" customHeight="1" x14ac:dyDescent="0.25">
      <c r="A108" s="54">
        <v>102</v>
      </c>
      <c r="B108" s="54">
        <v>3014863</v>
      </c>
      <c r="C108" s="54" t="s">
        <v>74</v>
      </c>
      <c r="D108" s="78" t="s">
        <v>100</v>
      </c>
      <c r="E108" s="69" t="s">
        <v>664</v>
      </c>
      <c r="F108" s="54"/>
      <c r="G108" s="60"/>
      <c r="H108" s="174">
        <f t="shared" si="5"/>
        <v>3014863</v>
      </c>
      <c r="I108" s="174" t="str">
        <f t="shared" si="6"/>
        <v xml:space="preserve">KAPT MUHAMAD SHAMIR BIN MOHD SALIM </v>
      </c>
      <c r="J108" s="175" t="s">
        <v>664</v>
      </c>
      <c r="K108" s="175"/>
      <c r="L108" s="175"/>
      <c r="M108" s="62" t="s">
        <v>687</v>
      </c>
      <c r="N108" s="54" t="s">
        <v>664</v>
      </c>
      <c r="O108" s="54"/>
      <c r="P108" s="60"/>
      <c r="Q108" t="str">
        <f t="shared" si="9"/>
        <v>P3014863</v>
      </c>
      <c r="R108" t="str">
        <f t="shared" si="7"/>
        <v>PN NORNATASYA BINTI MOHD SABARUDDIN</v>
      </c>
      <c r="S108" t="s">
        <v>664</v>
      </c>
    </row>
    <row r="109" spans="1:19" ht="53.25" customHeight="1" x14ac:dyDescent="0.25">
      <c r="A109" s="55">
        <v>103</v>
      </c>
      <c r="B109" s="54">
        <v>3015165</v>
      </c>
      <c r="C109" s="54" t="s">
        <v>74</v>
      </c>
      <c r="D109" s="78" t="s">
        <v>84</v>
      </c>
      <c r="E109" s="59"/>
      <c r="F109" s="54" t="s">
        <v>665</v>
      </c>
      <c r="G109" s="60"/>
      <c r="H109" s="174">
        <f t="shared" si="5"/>
        <v>3015165</v>
      </c>
      <c r="I109" s="174" t="str">
        <f t="shared" si="6"/>
        <v>KAPT NORSYAIZA BINTI NOOR MOHD ALI</v>
      </c>
      <c r="J109" s="175" t="s">
        <v>665</v>
      </c>
      <c r="K109" s="175"/>
      <c r="L109" s="175"/>
      <c r="M109" s="77"/>
      <c r="N109" s="54"/>
      <c r="O109" s="54"/>
      <c r="P109" s="60"/>
      <c r="Q109" t="str">
        <f t="shared" si="9"/>
        <v>P3015165</v>
      </c>
      <c r="R109" t="str">
        <f t="shared" si="7"/>
        <v/>
      </c>
    </row>
    <row r="110" spans="1:19" ht="52.5" customHeight="1" x14ac:dyDescent="0.25">
      <c r="A110" s="54">
        <v>104</v>
      </c>
      <c r="B110" s="54">
        <v>3015175</v>
      </c>
      <c r="C110" s="54" t="s">
        <v>74</v>
      </c>
      <c r="D110" s="62" t="s">
        <v>93</v>
      </c>
      <c r="E110" s="61"/>
      <c r="F110" s="54"/>
      <c r="G110" s="60" t="s">
        <v>278</v>
      </c>
      <c r="H110" s="174">
        <f t="shared" si="5"/>
        <v>3015175</v>
      </c>
      <c r="I110" s="174" t="str">
        <f t="shared" si="6"/>
        <v>KAPT NURUL FARAHIN BINTI ZAHARUDDIN</v>
      </c>
      <c r="J110" s="175" t="s">
        <v>278</v>
      </c>
      <c r="K110" s="175"/>
      <c r="L110" s="175"/>
      <c r="M110" s="62"/>
      <c r="N110" s="54"/>
      <c r="O110" s="54"/>
      <c r="P110" s="60"/>
      <c r="Q110" t="str">
        <f t="shared" si="9"/>
        <v>P3015175</v>
      </c>
      <c r="R110" t="str">
        <f t="shared" si="7"/>
        <v/>
      </c>
    </row>
    <row r="111" spans="1:19" ht="52.5" customHeight="1" x14ac:dyDescent="0.25">
      <c r="A111" s="55">
        <v>105</v>
      </c>
      <c r="B111" s="54">
        <v>3015342</v>
      </c>
      <c r="C111" s="54" t="s">
        <v>74</v>
      </c>
      <c r="D111" s="62" t="s">
        <v>64</v>
      </c>
      <c r="E111" s="87"/>
      <c r="F111" s="54" t="s">
        <v>665</v>
      </c>
      <c r="G111" s="60"/>
      <c r="H111" s="174">
        <f t="shared" si="5"/>
        <v>3015342</v>
      </c>
      <c r="I111" s="174" t="str">
        <f t="shared" si="6"/>
        <v>KAPT ABU HATIM BIN ADNAN</v>
      </c>
      <c r="J111" s="175" t="s">
        <v>665</v>
      </c>
      <c r="K111" s="175"/>
      <c r="L111" s="175"/>
      <c r="M111" s="62"/>
      <c r="N111" s="54"/>
      <c r="O111" s="54"/>
      <c r="P111" s="60"/>
      <c r="Q111" t="str">
        <f t="shared" si="9"/>
        <v>P3015342</v>
      </c>
      <c r="R111" t="str">
        <f t="shared" si="7"/>
        <v/>
      </c>
    </row>
    <row r="112" spans="1:19" ht="53.25" customHeight="1" x14ac:dyDescent="0.25">
      <c r="A112" s="54">
        <v>106</v>
      </c>
      <c r="B112" s="54">
        <v>3015481</v>
      </c>
      <c r="C112" s="54" t="s">
        <v>74</v>
      </c>
      <c r="D112" s="62" t="s">
        <v>59</v>
      </c>
      <c r="E112" s="69" t="s">
        <v>664</v>
      </c>
      <c r="F112" s="54"/>
      <c r="G112" s="60"/>
      <c r="H112" s="174">
        <f t="shared" si="5"/>
        <v>3015481</v>
      </c>
      <c r="I112" s="174" t="str">
        <f t="shared" si="6"/>
        <v xml:space="preserve">KAPT NUR FATIN FARHAH BINTI ABD WAHAB </v>
      </c>
      <c r="J112" s="175" t="s">
        <v>664</v>
      </c>
      <c r="K112" s="175"/>
      <c r="L112" s="175"/>
      <c r="M112" s="62" t="s">
        <v>688</v>
      </c>
      <c r="N112" s="54" t="s">
        <v>664</v>
      </c>
      <c r="O112" s="54"/>
      <c r="P112" s="60"/>
      <c r="Q112" t="str">
        <f t="shared" si="9"/>
        <v>P3015481</v>
      </c>
      <c r="R112" t="str">
        <f t="shared" si="7"/>
        <v xml:space="preserve">EN MUHAMMAD ARIF BIN ROSLI </v>
      </c>
      <c r="S112" t="s">
        <v>664</v>
      </c>
    </row>
    <row r="113" spans="1:19" ht="52.5" customHeight="1" x14ac:dyDescent="0.25">
      <c r="A113" s="55">
        <v>107</v>
      </c>
      <c r="B113" s="54">
        <v>3015482</v>
      </c>
      <c r="C113" s="54" t="s">
        <v>74</v>
      </c>
      <c r="D113" s="62" t="s">
        <v>57</v>
      </c>
      <c r="E113" s="61" t="s">
        <v>664</v>
      </c>
      <c r="F113" s="54"/>
      <c r="G113" s="60"/>
      <c r="H113" s="174">
        <f t="shared" si="5"/>
        <v>3015482</v>
      </c>
      <c r="I113" s="174" t="str">
        <f t="shared" si="6"/>
        <v>KAPT NUR HATIKA ANIS BINTI JAMIL</v>
      </c>
      <c r="J113" s="175" t="s">
        <v>664</v>
      </c>
      <c r="K113" s="175"/>
      <c r="L113" s="175"/>
      <c r="M113" s="62"/>
      <c r="N113" s="54"/>
      <c r="O113" s="54"/>
      <c r="P113" s="60"/>
      <c r="Q113" t="str">
        <f t="shared" si="9"/>
        <v>P3015482</v>
      </c>
      <c r="R113" t="str">
        <f t="shared" si="7"/>
        <v/>
      </c>
    </row>
    <row r="114" spans="1:19" ht="53.25" customHeight="1" x14ac:dyDescent="0.25">
      <c r="A114" s="54">
        <v>108</v>
      </c>
      <c r="B114" s="55">
        <v>7520874</v>
      </c>
      <c r="C114" s="55" t="s">
        <v>74</v>
      </c>
      <c r="D114" s="74" t="s">
        <v>118</v>
      </c>
      <c r="E114" s="59" t="s">
        <v>664</v>
      </c>
      <c r="F114" s="54"/>
      <c r="G114" s="60"/>
      <c r="H114" s="174">
        <f t="shared" si="5"/>
        <v>7520874</v>
      </c>
      <c r="I114" s="174" t="str">
        <f t="shared" si="6"/>
        <v>KAPT SITI HALIDA BINTI KAMARUZAMAN</v>
      </c>
      <c r="J114" s="175" t="s">
        <v>664</v>
      </c>
      <c r="K114" s="175"/>
      <c r="L114" s="175"/>
      <c r="M114" s="62" t="s">
        <v>570</v>
      </c>
      <c r="N114" s="54"/>
      <c r="O114" s="54" t="s">
        <v>665</v>
      </c>
      <c r="P114" s="60"/>
      <c r="Q114" t="str">
        <f t="shared" si="9"/>
        <v>P7520874</v>
      </c>
      <c r="R114" t="str">
        <f t="shared" si="7"/>
        <v>KAPT MUHAMMAD HANIS BIN ABDUL TUDM</v>
      </c>
      <c r="S114" t="s">
        <v>665</v>
      </c>
    </row>
    <row r="115" spans="1:19" ht="53.25" customHeight="1" x14ac:dyDescent="0.25">
      <c r="A115" s="55">
        <v>109</v>
      </c>
      <c r="B115" s="55">
        <v>7522066</v>
      </c>
      <c r="C115" s="55" t="s">
        <v>74</v>
      </c>
      <c r="D115" s="74" t="s">
        <v>114</v>
      </c>
      <c r="E115" s="59" t="s">
        <v>664</v>
      </c>
      <c r="F115" s="54"/>
      <c r="G115" s="60"/>
      <c r="H115" s="174">
        <f t="shared" si="5"/>
        <v>7522066</v>
      </c>
      <c r="I115" s="174" t="str">
        <f t="shared" si="6"/>
        <v>KAPT NORAZLIZA BINTI MOHAMAD ROZALLI</v>
      </c>
      <c r="J115" s="175" t="s">
        <v>664</v>
      </c>
      <c r="K115" s="175"/>
      <c r="L115" s="175"/>
      <c r="M115" s="62"/>
      <c r="N115" s="54"/>
      <c r="O115" s="54"/>
      <c r="P115" s="60"/>
      <c r="Q115" t="str">
        <f t="shared" si="9"/>
        <v>P7522066</v>
      </c>
      <c r="R115" t="str">
        <f t="shared" si="7"/>
        <v/>
      </c>
    </row>
    <row r="116" spans="1:19" ht="14.4" x14ac:dyDescent="0.25">
      <c r="A116" s="54">
        <v>110</v>
      </c>
      <c r="B116" s="54">
        <v>7522806</v>
      </c>
      <c r="C116" s="54" t="s">
        <v>74</v>
      </c>
      <c r="D116" s="62" t="s">
        <v>97</v>
      </c>
      <c r="E116" s="59"/>
      <c r="F116" s="54" t="s">
        <v>665</v>
      </c>
      <c r="G116" s="60"/>
      <c r="H116" s="174">
        <f t="shared" si="5"/>
        <v>7522806</v>
      </c>
      <c r="I116" s="174" t="str">
        <f t="shared" si="6"/>
        <v>KAPT NOR SHAHIDA BINTI SHAHIDAN</v>
      </c>
      <c r="J116" s="175" t="s">
        <v>665</v>
      </c>
      <c r="K116" s="175"/>
      <c r="L116" s="175"/>
      <c r="M116" s="62"/>
      <c r="N116" s="54"/>
      <c r="O116" s="54"/>
      <c r="P116" s="60"/>
      <c r="Q116" t="str">
        <f t="shared" si="9"/>
        <v>P7522806</v>
      </c>
      <c r="R116" t="str">
        <f t="shared" si="7"/>
        <v/>
      </c>
    </row>
    <row r="117" spans="1:19" ht="53.25" customHeight="1" x14ac:dyDescent="0.25">
      <c r="A117" s="55">
        <v>111</v>
      </c>
      <c r="B117" s="55">
        <v>7522828</v>
      </c>
      <c r="C117" s="55" t="s">
        <v>74</v>
      </c>
      <c r="D117" s="74" t="s">
        <v>112</v>
      </c>
      <c r="E117" s="61"/>
      <c r="F117" s="54" t="s">
        <v>665</v>
      </c>
      <c r="G117" s="60"/>
      <c r="H117" s="174">
        <f t="shared" si="5"/>
        <v>7522828</v>
      </c>
      <c r="I117" s="174" t="str">
        <f t="shared" si="6"/>
        <v>KAPT SITI AMYRA BINTI MD ZIBY</v>
      </c>
      <c r="J117" s="175" t="s">
        <v>665</v>
      </c>
      <c r="K117" s="175"/>
      <c r="L117" s="175"/>
      <c r="M117" s="62"/>
      <c r="N117" s="54"/>
      <c r="O117" s="54"/>
      <c r="P117" s="60"/>
      <c r="Q117" t="str">
        <f t="shared" si="9"/>
        <v>P7522828</v>
      </c>
      <c r="R117" t="str">
        <f t="shared" si="7"/>
        <v/>
      </c>
    </row>
    <row r="118" spans="1:19" ht="53.25" customHeight="1" x14ac:dyDescent="0.25">
      <c r="A118" s="54">
        <v>112</v>
      </c>
      <c r="B118" s="55">
        <v>7524332</v>
      </c>
      <c r="C118" s="55" t="s">
        <v>74</v>
      </c>
      <c r="D118" s="74" t="s">
        <v>77</v>
      </c>
      <c r="E118" s="69"/>
      <c r="F118" s="54"/>
      <c r="G118" s="60" t="s">
        <v>278</v>
      </c>
      <c r="H118" s="174">
        <f t="shared" si="5"/>
        <v>7524332</v>
      </c>
      <c r="I118" s="174" t="str">
        <f t="shared" si="6"/>
        <v>KAPT NOOR AMIRAH BT AHMAD DAUD</v>
      </c>
      <c r="J118" s="175" t="s">
        <v>278</v>
      </c>
      <c r="K118" s="175"/>
      <c r="L118" s="175"/>
      <c r="M118" s="62"/>
      <c r="N118" s="54"/>
      <c r="O118" s="54"/>
      <c r="P118" s="60"/>
      <c r="Q118" t="str">
        <f t="shared" si="9"/>
        <v>P7524332</v>
      </c>
      <c r="R118" t="str">
        <f t="shared" si="7"/>
        <v/>
      </c>
    </row>
    <row r="119" spans="1:19" ht="52.5" customHeight="1" x14ac:dyDescent="0.25">
      <c r="A119" s="55">
        <v>113</v>
      </c>
      <c r="B119" s="55">
        <v>7524662</v>
      </c>
      <c r="C119" s="55" t="s">
        <v>74</v>
      </c>
      <c r="D119" s="56" t="s">
        <v>52</v>
      </c>
      <c r="E119" s="69" t="s">
        <v>664</v>
      </c>
      <c r="F119" s="54"/>
      <c r="G119" s="60"/>
      <c r="H119" s="174">
        <f t="shared" si="5"/>
        <v>7524662</v>
      </c>
      <c r="I119" s="174" t="str">
        <f t="shared" si="6"/>
        <v>KAPT NORHITA BTE MOHD BHOHARI</v>
      </c>
      <c r="J119" s="175" t="s">
        <v>664</v>
      </c>
      <c r="K119" s="175"/>
      <c r="L119" s="175"/>
      <c r="M119" s="62"/>
      <c r="N119" s="54"/>
      <c r="O119" s="54"/>
      <c r="P119" s="60"/>
      <c r="Q119" t="str">
        <f t="shared" si="9"/>
        <v>P7524662</v>
      </c>
      <c r="R119" t="str">
        <f t="shared" si="7"/>
        <v/>
      </c>
    </row>
    <row r="120" spans="1:19" ht="53.25" customHeight="1" x14ac:dyDescent="0.25">
      <c r="A120" s="54">
        <v>114</v>
      </c>
      <c r="B120" s="55">
        <v>7525036</v>
      </c>
      <c r="C120" s="55" t="s">
        <v>74</v>
      </c>
      <c r="D120" s="74" t="s">
        <v>343</v>
      </c>
      <c r="E120" s="69" t="s">
        <v>664</v>
      </c>
      <c r="F120" s="54"/>
      <c r="G120" s="60"/>
      <c r="H120" s="174">
        <f t="shared" si="5"/>
        <v>7525036</v>
      </c>
      <c r="I120" s="174" t="str">
        <f t="shared" si="6"/>
        <v>KAPT SITI NURHAFIZAH BINTI MOHAMAD NOH</v>
      </c>
      <c r="J120" s="175" t="s">
        <v>664</v>
      </c>
      <c r="K120" s="175"/>
      <c r="L120" s="175"/>
      <c r="M120" s="62"/>
      <c r="N120" s="54"/>
      <c r="O120" s="54"/>
      <c r="P120" s="60"/>
      <c r="Q120" t="str">
        <f t="shared" si="9"/>
        <v>P7525036</v>
      </c>
      <c r="R120" t="str">
        <f t="shared" si="7"/>
        <v/>
      </c>
    </row>
    <row r="121" spans="1:19" ht="52.5" customHeight="1" x14ac:dyDescent="0.25">
      <c r="A121" s="55">
        <v>115</v>
      </c>
      <c r="B121" s="54">
        <v>7526808</v>
      </c>
      <c r="C121" s="54" t="s">
        <v>74</v>
      </c>
      <c r="D121" s="62" t="s">
        <v>317</v>
      </c>
      <c r="E121" s="69"/>
      <c r="F121" s="54" t="s">
        <v>665</v>
      </c>
      <c r="G121" s="60"/>
      <c r="H121" s="174">
        <f t="shared" si="5"/>
        <v>7526808</v>
      </c>
      <c r="I121" s="174" t="str">
        <f t="shared" si="6"/>
        <v>KAPT MOHD HAFIZUDDIN BIN OSMAN</v>
      </c>
      <c r="J121" s="175" t="s">
        <v>665</v>
      </c>
      <c r="K121" s="175"/>
      <c r="L121" s="175"/>
      <c r="M121" s="62" t="s">
        <v>689</v>
      </c>
      <c r="N121" s="54"/>
      <c r="O121" s="54"/>
      <c r="P121" s="60" t="s">
        <v>278</v>
      </c>
      <c r="Q121" t="str">
        <f t="shared" si="9"/>
        <v>P7526808</v>
      </c>
      <c r="R121" t="str">
        <f t="shared" si="7"/>
        <v>PN MASTURA BINTI ROSLI</v>
      </c>
      <c r="S121" t="s">
        <v>278</v>
      </c>
    </row>
    <row r="122" spans="1:19" ht="53.25" customHeight="1" x14ac:dyDescent="0.25">
      <c r="A122" s="54">
        <v>116</v>
      </c>
      <c r="B122" s="54">
        <v>7528023</v>
      </c>
      <c r="C122" s="54" t="s">
        <v>74</v>
      </c>
      <c r="D122" s="74" t="s">
        <v>99</v>
      </c>
      <c r="E122" s="69"/>
      <c r="F122" s="54" t="s">
        <v>665</v>
      </c>
      <c r="G122" s="60"/>
      <c r="H122" s="174">
        <f t="shared" si="5"/>
        <v>7528023</v>
      </c>
      <c r="I122" s="174" t="str">
        <f t="shared" si="6"/>
        <v>KAPT MOHAMMAD TAUFIK BIN KATIMAN</v>
      </c>
      <c r="J122" s="175" t="s">
        <v>665</v>
      </c>
      <c r="K122" s="175"/>
      <c r="L122" s="175"/>
      <c r="M122" s="77"/>
      <c r="N122" s="54"/>
      <c r="O122" s="54"/>
      <c r="P122" s="60"/>
      <c r="Q122" t="str">
        <f t="shared" si="9"/>
        <v>P7528023</v>
      </c>
      <c r="R122" t="str">
        <f t="shared" si="7"/>
        <v/>
      </c>
    </row>
    <row r="123" spans="1:19" ht="52.5" customHeight="1" x14ac:dyDescent="0.25">
      <c r="A123" s="55">
        <v>117</v>
      </c>
      <c r="B123" s="54">
        <v>7528887</v>
      </c>
      <c r="C123" s="54" t="s">
        <v>74</v>
      </c>
      <c r="D123" s="62" t="s">
        <v>345</v>
      </c>
      <c r="E123" s="69" t="s">
        <v>664</v>
      </c>
      <c r="F123" s="54"/>
      <c r="G123" s="60"/>
      <c r="H123" s="174">
        <f t="shared" si="5"/>
        <v>7528887</v>
      </c>
      <c r="I123" s="174" t="str">
        <f t="shared" si="6"/>
        <v>KAPT MOHD AIMAN BIN CHE HASSAN</v>
      </c>
      <c r="J123" s="175" t="s">
        <v>664</v>
      </c>
      <c r="K123" s="175"/>
      <c r="L123" s="175"/>
      <c r="M123" s="77"/>
      <c r="N123" s="54"/>
      <c r="O123" s="54"/>
      <c r="P123" s="60"/>
      <c r="Q123" t="str">
        <f t="shared" si="9"/>
        <v>P7528887</v>
      </c>
      <c r="R123" t="str">
        <f t="shared" si="7"/>
        <v/>
      </c>
    </row>
    <row r="124" spans="1:19" ht="53.25" customHeight="1" x14ac:dyDescent="0.25">
      <c r="A124" s="54">
        <v>118</v>
      </c>
      <c r="B124" s="54">
        <v>7528920</v>
      </c>
      <c r="C124" s="54" t="s">
        <v>74</v>
      </c>
      <c r="D124" s="62" t="s">
        <v>82</v>
      </c>
      <c r="E124" s="69"/>
      <c r="F124" s="54" t="s">
        <v>665</v>
      </c>
      <c r="G124" s="60"/>
      <c r="H124" s="174">
        <f t="shared" si="5"/>
        <v>7528920</v>
      </c>
      <c r="I124" s="174" t="str">
        <f t="shared" si="6"/>
        <v>KAPT MUHAMMAD HAFIZUDDIN BIN ABDUL RAZAK</v>
      </c>
      <c r="J124" s="175" t="s">
        <v>665</v>
      </c>
      <c r="K124" s="175"/>
      <c r="L124" s="175"/>
      <c r="M124" s="62"/>
      <c r="N124" s="54"/>
      <c r="O124" s="54"/>
      <c r="P124" s="60"/>
      <c r="Q124" t="str">
        <f t="shared" si="9"/>
        <v>P7528920</v>
      </c>
      <c r="R124" t="str">
        <f t="shared" si="7"/>
        <v/>
      </c>
    </row>
    <row r="125" spans="1:19" ht="53.25" customHeight="1" x14ac:dyDescent="0.25">
      <c r="A125" s="55">
        <v>119</v>
      </c>
      <c r="B125" s="54">
        <v>3014988</v>
      </c>
      <c r="C125" s="54" t="s">
        <v>74</v>
      </c>
      <c r="D125" s="62" t="s">
        <v>48</v>
      </c>
      <c r="E125" s="69" t="s">
        <v>664</v>
      </c>
      <c r="F125" s="54"/>
      <c r="G125" s="60"/>
      <c r="H125" s="174">
        <f t="shared" si="5"/>
        <v>3014988</v>
      </c>
      <c r="I125" s="174" t="str">
        <f t="shared" si="6"/>
        <v>KAPT NUR ZAFIRAH BINTI HAMDAN</v>
      </c>
      <c r="J125" s="175" t="s">
        <v>664</v>
      </c>
      <c r="K125" s="175"/>
      <c r="L125" s="175"/>
      <c r="M125" s="62" t="s">
        <v>619</v>
      </c>
      <c r="N125" s="54"/>
      <c r="O125" s="54" t="s">
        <v>665</v>
      </c>
      <c r="P125" s="60"/>
      <c r="Q125" t="str">
        <f t="shared" si="9"/>
        <v>P3014988</v>
      </c>
      <c r="R125" t="str">
        <f t="shared" si="7"/>
        <v>KAPT AHMAD ZAIM ADAM BIN CHAZALI</v>
      </c>
      <c r="S125" t="s">
        <v>665</v>
      </c>
    </row>
    <row r="126" spans="1:19" ht="52.5" customHeight="1" x14ac:dyDescent="0.25">
      <c r="A126" s="54">
        <v>120</v>
      </c>
      <c r="B126" s="54">
        <v>3015032</v>
      </c>
      <c r="C126" s="54" t="s">
        <v>74</v>
      </c>
      <c r="D126" s="62" t="s">
        <v>43</v>
      </c>
      <c r="E126" s="69"/>
      <c r="F126" s="54" t="s">
        <v>665</v>
      </c>
      <c r="G126" s="60"/>
      <c r="H126" s="174">
        <f t="shared" si="5"/>
        <v>3015032</v>
      </c>
      <c r="I126" s="174" t="str">
        <f t="shared" si="6"/>
        <v xml:space="preserve">KAPT NOOR SAFIKA BINTI SHAWAL </v>
      </c>
      <c r="J126" s="175" t="s">
        <v>665</v>
      </c>
      <c r="K126" s="175"/>
      <c r="L126" s="175"/>
      <c r="M126" s="77"/>
      <c r="N126" s="54"/>
      <c r="O126" s="54"/>
      <c r="P126" s="60"/>
      <c r="Q126" t="str">
        <f t="shared" si="9"/>
        <v>P3015032</v>
      </c>
      <c r="R126" t="str">
        <f t="shared" si="7"/>
        <v/>
      </c>
    </row>
    <row r="127" spans="1:19" ht="52.5" customHeight="1" x14ac:dyDescent="0.25">
      <c r="A127" s="55">
        <v>121</v>
      </c>
      <c r="B127" s="54">
        <v>7524494</v>
      </c>
      <c r="C127" s="54" t="s">
        <v>74</v>
      </c>
      <c r="D127" s="62" t="s">
        <v>399</v>
      </c>
      <c r="E127" s="69"/>
      <c r="F127" s="54" t="s">
        <v>665</v>
      </c>
      <c r="G127" s="60"/>
      <c r="H127" s="174">
        <f t="shared" si="5"/>
        <v>7524494</v>
      </c>
      <c r="I127" s="174" t="str">
        <f t="shared" si="6"/>
        <v>KAPT NURUL MARDHIAH BINTI A. RAZAK</v>
      </c>
      <c r="J127" s="175" t="s">
        <v>665</v>
      </c>
      <c r="K127" s="175"/>
      <c r="L127" s="175"/>
      <c r="M127" s="62"/>
      <c r="N127" s="54"/>
      <c r="O127" s="54"/>
      <c r="P127" s="60"/>
      <c r="Q127" t="str">
        <f t="shared" si="9"/>
        <v>P7524494</v>
      </c>
      <c r="R127" t="str">
        <f t="shared" si="7"/>
        <v/>
      </c>
    </row>
    <row r="128" spans="1:19" ht="52.5" customHeight="1" x14ac:dyDescent="0.25">
      <c r="A128" s="54">
        <v>122</v>
      </c>
      <c r="B128" s="54">
        <v>3015908</v>
      </c>
      <c r="C128" s="54" t="s">
        <v>74</v>
      </c>
      <c r="D128" s="62" t="s">
        <v>34</v>
      </c>
      <c r="E128" s="69" t="s">
        <v>664</v>
      </c>
      <c r="F128" s="54"/>
      <c r="G128" s="60"/>
      <c r="H128" s="174">
        <f t="shared" si="5"/>
        <v>3015908</v>
      </c>
      <c r="I128" s="174" t="str">
        <f t="shared" si="6"/>
        <v xml:space="preserve">KAPT NURUL ATIKAH BINTI JAMALLUDDIN </v>
      </c>
      <c r="J128" s="175" t="s">
        <v>664</v>
      </c>
      <c r="K128" s="175"/>
      <c r="L128" s="175"/>
      <c r="M128" s="62"/>
      <c r="N128" s="54"/>
      <c r="O128" s="54"/>
      <c r="P128" s="60"/>
      <c r="Q128" t="str">
        <f t="shared" si="9"/>
        <v>P3015908</v>
      </c>
      <c r="R128" t="str">
        <f t="shared" si="7"/>
        <v/>
      </c>
    </row>
    <row r="129" spans="1:19" ht="52.5" customHeight="1" x14ac:dyDescent="0.25">
      <c r="A129" s="55">
        <v>123</v>
      </c>
      <c r="B129" s="54">
        <v>7529865</v>
      </c>
      <c r="C129" s="54" t="s">
        <v>74</v>
      </c>
      <c r="D129" s="62" t="s">
        <v>29</v>
      </c>
      <c r="E129" s="59"/>
      <c r="F129" s="54" t="s">
        <v>665</v>
      </c>
      <c r="G129" s="60"/>
      <c r="H129" s="174">
        <f t="shared" si="5"/>
        <v>7529865</v>
      </c>
      <c r="I129" s="174" t="str">
        <f t="shared" si="6"/>
        <v>KAPT KHAIRIL HISHAM BIN AZHAR</v>
      </c>
      <c r="J129" s="175" t="s">
        <v>665</v>
      </c>
      <c r="K129" s="175"/>
      <c r="L129" s="175"/>
      <c r="M129" s="62"/>
      <c r="N129" s="54"/>
      <c r="O129" s="54"/>
      <c r="P129" s="60"/>
      <c r="Q129" t="str">
        <f t="shared" si="9"/>
        <v>P7529865</v>
      </c>
      <c r="R129" t="str">
        <f t="shared" si="7"/>
        <v/>
      </c>
    </row>
    <row r="130" spans="1:19" ht="52.5" customHeight="1" x14ac:dyDescent="0.25">
      <c r="A130" s="54">
        <v>124</v>
      </c>
      <c r="B130" s="54">
        <v>7531062</v>
      </c>
      <c r="C130" s="54" t="s">
        <v>74</v>
      </c>
      <c r="D130" s="74" t="s">
        <v>400</v>
      </c>
      <c r="E130" s="69" t="s">
        <v>664</v>
      </c>
      <c r="F130" s="54"/>
      <c r="G130" s="60"/>
      <c r="H130" s="174">
        <f t="shared" si="5"/>
        <v>7531062</v>
      </c>
      <c r="I130" s="174" t="str">
        <f t="shared" si="6"/>
        <v>KAPT KARMALITA BINTI LAGANI</v>
      </c>
      <c r="J130" s="175" t="s">
        <v>664</v>
      </c>
      <c r="K130" s="175"/>
      <c r="L130" s="175"/>
      <c r="M130" s="62" t="s">
        <v>690</v>
      </c>
      <c r="N130" s="54"/>
      <c r="O130" s="54" t="s">
        <v>665</v>
      </c>
      <c r="P130" s="60"/>
      <c r="Q130" t="str">
        <f t="shared" si="9"/>
        <v>P7531062</v>
      </c>
      <c r="R130" t="str">
        <f t="shared" si="7"/>
        <v>EN MOHD ZULFADHLI BIN ZULKIFLI</v>
      </c>
      <c r="S130" t="s">
        <v>665</v>
      </c>
    </row>
    <row r="131" spans="1:19" ht="52.5" customHeight="1" x14ac:dyDescent="0.25">
      <c r="A131" s="55">
        <v>125</v>
      </c>
      <c r="B131" s="54">
        <v>3014349</v>
      </c>
      <c r="C131" s="54" t="s">
        <v>74</v>
      </c>
      <c r="D131" s="74" t="s">
        <v>73</v>
      </c>
      <c r="E131" s="69"/>
      <c r="F131" s="54"/>
      <c r="G131" s="60" t="s">
        <v>278</v>
      </c>
      <c r="H131" s="174">
        <f t="shared" si="5"/>
        <v>3014349</v>
      </c>
      <c r="I131" s="174" t="str">
        <f t="shared" si="6"/>
        <v>KAPT NURUL SYIFA BINTI OTHMAN</v>
      </c>
      <c r="J131" s="175" t="s">
        <v>278</v>
      </c>
      <c r="K131" s="175"/>
      <c r="L131" s="175"/>
      <c r="M131" s="62"/>
      <c r="N131" s="54"/>
      <c r="O131" s="54"/>
      <c r="P131" s="60"/>
      <c r="Q131" t="str">
        <f t="shared" si="9"/>
        <v>P3014349</v>
      </c>
      <c r="R131" t="str">
        <f t="shared" si="7"/>
        <v/>
      </c>
    </row>
    <row r="132" spans="1:19" ht="53.25" customHeight="1" x14ac:dyDescent="0.25">
      <c r="A132" s="54">
        <v>126</v>
      </c>
      <c r="B132" s="54">
        <v>3015495</v>
      </c>
      <c r="C132" s="54" t="s">
        <v>74</v>
      </c>
      <c r="D132" s="62" t="s">
        <v>53</v>
      </c>
      <c r="E132" s="69"/>
      <c r="F132" s="54" t="s">
        <v>665</v>
      </c>
      <c r="G132" s="60"/>
      <c r="H132" s="174">
        <f t="shared" si="5"/>
        <v>3015495</v>
      </c>
      <c r="I132" s="174" t="str">
        <f t="shared" si="6"/>
        <v>KAPT WAN AHMAD UZAIR BIN WAN KAMARUZAMAN</v>
      </c>
      <c r="J132" s="175" t="s">
        <v>665</v>
      </c>
      <c r="K132" s="175"/>
      <c r="L132" s="175"/>
      <c r="M132" s="62"/>
      <c r="N132" s="54"/>
      <c r="O132" s="54"/>
      <c r="P132" s="60"/>
      <c r="Q132" t="str">
        <f t="shared" si="9"/>
        <v>P3015495</v>
      </c>
      <c r="R132" t="str">
        <f t="shared" si="7"/>
        <v/>
      </c>
    </row>
    <row r="133" spans="1:19" ht="52.5" customHeight="1" x14ac:dyDescent="0.25">
      <c r="A133" s="55">
        <v>127</v>
      </c>
      <c r="B133" s="54">
        <v>3016473</v>
      </c>
      <c r="C133" s="54" t="s">
        <v>74</v>
      </c>
      <c r="D133" s="78" t="s">
        <v>261</v>
      </c>
      <c r="E133" s="69" t="s">
        <v>664</v>
      </c>
      <c r="F133" s="54"/>
      <c r="G133" s="60"/>
      <c r="H133" s="174">
        <f t="shared" si="5"/>
        <v>3016473</v>
      </c>
      <c r="I133" s="174" t="str">
        <f t="shared" si="6"/>
        <v xml:space="preserve">KAPT PAVITRAN NAIDU A/L GANASEN             </v>
      </c>
      <c r="J133" s="175" t="s">
        <v>664</v>
      </c>
      <c r="K133" s="175"/>
      <c r="L133" s="175"/>
      <c r="M133" s="62"/>
      <c r="N133" s="54"/>
      <c r="O133" s="54"/>
      <c r="P133" s="60"/>
      <c r="Q133" t="str">
        <f t="shared" si="9"/>
        <v>P3016473</v>
      </c>
      <c r="R133" t="str">
        <f t="shared" si="7"/>
        <v/>
      </c>
    </row>
    <row r="134" spans="1:19" ht="53.25" customHeight="1" x14ac:dyDescent="0.25">
      <c r="A134" s="54">
        <v>128</v>
      </c>
      <c r="B134" s="54">
        <v>3016295</v>
      </c>
      <c r="C134" s="54" t="s">
        <v>74</v>
      </c>
      <c r="D134" s="78" t="s">
        <v>620</v>
      </c>
      <c r="E134" s="69" t="s">
        <v>664</v>
      </c>
      <c r="F134" s="54"/>
      <c r="G134" s="60"/>
      <c r="H134" s="174">
        <f t="shared" si="5"/>
        <v>3016295</v>
      </c>
      <c r="I134" s="174" t="str">
        <f t="shared" si="6"/>
        <v>KAPT AHMAD ABRAR BIN ADAM MALIK</v>
      </c>
      <c r="J134" s="175" t="s">
        <v>664</v>
      </c>
      <c r="K134" s="175"/>
      <c r="L134" s="175"/>
      <c r="M134" s="62"/>
      <c r="N134" s="54"/>
      <c r="O134" s="54"/>
      <c r="P134" s="60"/>
      <c r="Q134" t="str">
        <f t="shared" si="9"/>
        <v>P3016295</v>
      </c>
      <c r="R134" t="str">
        <f t="shared" si="7"/>
        <v/>
      </c>
    </row>
    <row r="135" spans="1:19" ht="53.25" customHeight="1" x14ac:dyDescent="0.25">
      <c r="A135" s="55">
        <v>129</v>
      </c>
      <c r="B135" s="54">
        <v>7536098</v>
      </c>
      <c r="C135" s="54" t="s">
        <v>25</v>
      </c>
      <c r="D135" s="77" t="s">
        <v>19</v>
      </c>
      <c r="E135" s="69"/>
      <c r="F135" s="54"/>
      <c r="G135" s="60" t="s">
        <v>278</v>
      </c>
      <c r="H135" s="174">
        <f t="shared" si="5"/>
        <v>7536098</v>
      </c>
      <c r="I135" s="174" t="str">
        <f t="shared" si="6"/>
        <v xml:space="preserve">LT INTAN NURASMIDA BINTI MOHD KHAIRI </v>
      </c>
      <c r="J135" s="175" t="s">
        <v>278</v>
      </c>
      <c r="K135" s="175"/>
      <c r="L135" s="175"/>
      <c r="M135" s="62"/>
      <c r="N135" s="54"/>
      <c r="O135" s="54"/>
      <c r="P135" s="60"/>
      <c r="Q135" t="str">
        <f t="shared" si="9"/>
        <v>P7536098</v>
      </c>
      <c r="R135" t="str">
        <f t="shared" si="7"/>
        <v/>
      </c>
    </row>
    <row r="136" spans="1:19" ht="52.5" customHeight="1" x14ac:dyDescent="0.25">
      <c r="A136" s="54">
        <v>130</v>
      </c>
      <c r="B136" s="54">
        <v>7529592</v>
      </c>
      <c r="C136" s="54" t="s">
        <v>25</v>
      </c>
      <c r="D136" s="77" t="s">
        <v>363</v>
      </c>
      <c r="E136" s="69"/>
      <c r="F136" s="54" t="s">
        <v>665</v>
      </c>
      <c r="G136" s="60"/>
      <c r="H136" s="174">
        <f t="shared" ref="H136:H184" si="10">B136</f>
        <v>7529592</v>
      </c>
      <c r="I136" s="174" t="str">
        <f t="shared" ref="I136:I184" si="11">CONCATENATE(C136," ",D136)</f>
        <v>LT MUHAMMAD HAFIZUL ASLAM BIN ZURI</v>
      </c>
      <c r="J136" s="175" t="s">
        <v>665</v>
      </c>
      <c r="K136" s="175"/>
      <c r="L136" s="175"/>
      <c r="M136" s="62" t="s">
        <v>691</v>
      </c>
      <c r="N136" s="54"/>
      <c r="O136" s="54"/>
      <c r="P136" s="60" t="s">
        <v>278</v>
      </c>
      <c r="Q136" t="str">
        <f t="shared" si="9"/>
        <v>P7529592</v>
      </c>
      <c r="R136" t="str">
        <f t="shared" ref="R136:R184" si="12">UPPER(M136)</f>
        <v>PN NUR AZLIN BINTI RUSLI</v>
      </c>
      <c r="S136" t="s">
        <v>278</v>
      </c>
    </row>
    <row r="137" spans="1:19" ht="52.5" customHeight="1" x14ac:dyDescent="0.25">
      <c r="A137" s="55">
        <v>131</v>
      </c>
      <c r="B137" s="54">
        <v>3014303</v>
      </c>
      <c r="C137" s="54" t="s">
        <v>24</v>
      </c>
      <c r="D137" s="62" t="s">
        <v>69</v>
      </c>
      <c r="E137" s="69"/>
      <c r="F137" s="54" t="s">
        <v>665</v>
      </c>
      <c r="G137" s="60"/>
      <c r="H137" s="174">
        <f t="shared" si="10"/>
        <v>3014303</v>
      </c>
      <c r="I137" s="174" t="str">
        <f t="shared" si="11"/>
        <v>LT  NADIRAH BINTI ABDUL HADI</v>
      </c>
      <c r="J137" s="175" t="s">
        <v>665</v>
      </c>
      <c r="K137" s="175"/>
      <c r="L137" s="175"/>
      <c r="M137" s="62"/>
      <c r="N137" s="54"/>
      <c r="O137" s="54"/>
      <c r="P137" s="60"/>
      <c r="Q137" t="str">
        <f t="shared" si="9"/>
        <v>P3014303</v>
      </c>
      <c r="R137" t="str">
        <f t="shared" si="12"/>
        <v/>
      </c>
    </row>
    <row r="138" spans="1:19" ht="52.5" customHeight="1" x14ac:dyDescent="0.25">
      <c r="A138" s="54">
        <v>132</v>
      </c>
      <c r="B138" s="54">
        <v>3015380</v>
      </c>
      <c r="C138" s="54" t="s">
        <v>25</v>
      </c>
      <c r="D138" s="62" t="s">
        <v>61</v>
      </c>
      <c r="E138" s="69"/>
      <c r="F138" s="54" t="s">
        <v>665</v>
      </c>
      <c r="G138" s="60"/>
      <c r="H138" s="174">
        <f t="shared" si="10"/>
        <v>3015380</v>
      </c>
      <c r="I138" s="174" t="str">
        <f t="shared" si="11"/>
        <v>LT MATIN SAFARIN BHATIA BIN MOHAMAD SHAIFUL</v>
      </c>
      <c r="J138" s="175" t="s">
        <v>665</v>
      </c>
      <c r="K138" s="175"/>
      <c r="L138" s="175"/>
      <c r="M138" s="62" t="s">
        <v>692</v>
      </c>
      <c r="N138" s="54"/>
      <c r="O138" s="54" t="s">
        <v>665</v>
      </c>
      <c r="P138" s="60"/>
      <c r="Q138" t="str">
        <f t="shared" si="9"/>
        <v>P3015380</v>
      </c>
      <c r="R138" t="str">
        <f t="shared" si="12"/>
        <v xml:space="preserve">PN NOOR SHARMIRA BINTI ZAIDI </v>
      </c>
      <c r="S138" t="s">
        <v>665</v>
      </c>
    </row>
    <row r="139" spans="1:19" ht="53.25" customHeight="1" x14ac:dyDescent="0.25">
      <c r="A139" s="55">
        <v>133</v>
      </c>
      <c r="B139" s="54">
        <v>7534014</v>
      </c>
      <c r="C139" s="54" t="s">
        <v>25</v>
      </c>
      <c r="D139" s="62" t="s">
        <v>351</v>
      </c>
      <c r="E139" s="69"/>
      <c r="F139" s="54" t="s">
        <v>665</v>
      </c>
      <c r="G139" s="60"/>
      <c r="H139" s="174">
        <f t="shared" si="10"/>
        <v>7534014</v>
      </c>
      <c r="I139" s="174" t="str">
        <f t="shared" si="11"/>
        <v xml:space="preserve">LT MOHAMAD SHAFIZUDDIN BIN MOHD ZANGI </v>
      </c>
      <c r="J139" s="175" t="s">
        <v>665</v>
      </c>
      <c r="K139" s="175"/>
      <c r="L139" s="175"/>
      <c r="M139" s="62"/>
      <c r="N139" s="54"/>
      <c r="O139" s="54"/>
      <c r="P139" s="60"/>
      <c r="Q139" t="str">
        <f t="shared" ref="Q139:Q170" si="13">CONCATENATE("P",B139)</f>
        <v>P7534014</v>
      </c>
      <c r="R139" t="str">
        <f t="shared" si="12"/>
        <v/>
      </c>
    </row>
    <row r="140" spans="1:19" ht="53.25" customHeight="1" x14ac:dyDescent="0.25">
      <c r="A140" s="54">
        <v>134</v>
      </c>
      <c r="B140" s="54">
        <v>3015677</v>
      </c>
      <c r="C140" s="54" t="s">
        <v>25</v>
      </c>
      <c r="D140" s="62" t="s">
        <v>362</v>
      </c>
      <c r="E140" s="69"/>
      <c r="F140" s="54" t="s">
        <v>665</v>
      </c>
      <c r="G140" s="60"/>
      <c r="H140" s="174">
        <f t="shared" si="10"/>
        <v>3015677</v>
      </c>
      <c r="I140" s="174" t="str">
        <f t="shared" si="11"/>
        <v xml:space="preserve">LT MUHAMMAD LOKMAN HAKIM BIN AHMAD </v>
      </c>
      <c r="J140" s="175" t="s">
        <v>665</v>
      </c>
      <c r="K140" s="175"/>
      <c r="L140" s="175"/>
      <c r="M140" s="62"/>
      <c r="N140" s="54"/>
      <c r="O140" s="54"/>
      <c r="P140" s="60"/>
      <c r="Q140" t="str">
        <f t="shared" si="13"/>
        <v>P3015677</v>
      </c>
      <c r="R140" t="str">
        <f t="shared" si="12"/>
        <v/>
      </c>
    </row>
    <row r="141" spans="1:19" ht="52.5" customHeight="1" x14ac:dyDescent="0.25">
      <c r="A141" s="55">
        <v>135</v>
      </c>
      <c r="B141" s="54">
        <v>7538359</v>
      </c>
      <c r="C141" s="54" t="s">
        <v>25</v>
      </c>
      <c r="D141" s="62" t="s">
        <v>382</v>
      </c>
      <c r="E141" s="69" t="s">
        <v>664</v>
      </c>
      <c r="F141" s="54"/>
      <c r="G141" s="60"/>
      <c r="H141" s="174">
        <f t="shared" si="10"/>
        <v>7538359</v>
      </c>
      <c r="I141" s="174" t="str">
        <f t="shared" si="11"/>
        <v>LT GUSNAWATI BINTI AMBOLALA</v>
      </c>
      <c r="J141" s="175" t="s">
        <v>664</v>
      </c>
      <c r="K141" s="175"/>
      <c r="L141" s="175"/>
      <c r="M141" s="62"/>
      <c r="N141" s="54"/>
      <c r="O141" s="54"/>
      <c r="P141" s="60"/>
      <c r="Q141" t="str">
        <f t="shared" si="13"/>
        <v>P7538359</v>
      </c>
      <c r="R141" t="str">
        <f t="shared" si="12"/>
        <v/>
      </c>
    </row>
    <row r="142" spans="1:19" ht="53.25" customHeight="1" x14ac:dyDescent="0.25">
      <c r="A142" s="54">
        <v>136</v>
      </c>
      <c r="B142" s="54">
        <v>3017085</v>
      </c>
      <c r="C142" s="54" t="s">
        <v>24</v>
      </c>
      <c r="D142" s="62" t="s">
        <v>374</v>
      </c>
      <c r="E142" s="69" t="s">
        <v>664</v>
      </c>
      <c r="F142" s="54"/>
      <c r="G142" s="60"/>
      <c r="H142" s="174">
        <f t="shared" si="10"/>
        <v>3017085</v>
      </c>
      <c r="I142" s="174" t="str">
        <f t="shared" si="11"/>
        <v xml:space="preserve">LT  ABDUL QAYYUM BIN MUSTAFA </v>
      </c>
      <c r="J142" s="175" t="s">
        <v>664</v>
      </c>
      <c r="K142" s="175"/>
      <c r="L142" s="175"/>
      <c r="M142" s="62" t="s">
        <v>693</v>
      </c>
      <c r="N142" s="54"/>
      <c r="O142" s="54"/>
      <c r="P142" s="60" t="s">
        <v>278</v>
      </c>
      <c r="Q142" t="str">
        <f t="shared" si="13"/>
        <v>P3017085</v>
      </c>
      <c r="R142" t="str">
        <f t="shared" si="12"/>
        <v xml:space="preserve">PN IWARDATUL ADHA BINTI AZIZI </v>
      </c>
      <c r="S142" t="s">
        <v>278</v>
      </c>
    </row>
    <row r="143" spans="1:19" ht="14.4" x14ac:dyDescent="0.25">
      <c r="A143" s="55">
        <v>137</v>
      </c>
      <c r="B143" s="54">
        <v>7536256</v>
      </c>
      <c r="C143" s="54" t="s">
        <v>25</v>
      </c>
      <c r="D143" s="62" t="s">
        <v>17</v>
      </c>
      <c r="E143" s="69" t="s">
        <v>664</v>
      </c>
      <c r="F143" s="54"/>
      <c r="G143" s="60"/>
      <c r="H143" s="174">
        <f t="shared" si="10"/>
        <v>7536256</v>
      </c>
      <c r="I143" s="174" t="str">
        <f t="shared" si="11"/>
        <v>LT NOR SHAFARA BINTI WASLI</v>
      </c>
      <c r="J143" s="175" t="s">
        <v>664</v>
      </c>
      <c r="K143" s="175"/>
      <c r="L143" s="175"/>
      <c r="M143" s="62" t="s">
        <v>694</v>
      </c>
      <c r="N143" s="54" t="s">
        <v>664</v>
      </c>
      <c r="O143" s="54"/>
      <c r="P143" s="60"/>
      <c r="Q143" t="str">
        <f t="shared" si="13"/>
        <v>P7536256</v>
      </c>
      <c r="R143" t="str">
        <f t="shared" si="12"/>
        <v xml:space="preserve">EN MIKHAIL SEAN </v>
      </c>
      <c r="S143" t="s">
        <v>664</v>
      </c>
    </row>
    <row r="144" spans="1:19" ht="14.4" x14ac:dyDescent="0.25">
      <c r="A144" s="54">
        <v>138</v>
      </c>
      <c r="B144" s="54">
        <v>3017096</v>
      </c>
      <c r="C144" s="54" t="s">
        <v>25</v>
      </c>
      <c r="D144" s="62" t="s">
        <v>377</v>
      </c>
      <c r="E144" s="69"/>
      <c r="F144" s="54"/>
      <c r="G144" s="60" t="s">
        <v>278</v>
      </c>
      <c r="H144" s="174">
        <f t="shared" si="10"/>
        <v>3017096</v>
      </c>
      <c r="I144" s="174" t="str">
        <f t="shared" si="11"/>
        <v>LT AHMAD HAZIM BIN RAMLI</v>
      </c>
      <c r="J144" s="175" t="s">
        <v>278</v>
      </c>
      <c r="K144" s="175"/>
      <c r="L144" s="175"/>
      <c r="M144" s="62"/>
      <c r="N144" s="54"/>
      <c r="O144" s="54"/>
      <c r="P144" s="60"/>
      <c r="Q144" t="str">
        <f t="shared" si="13"/>
        <v>P3017096</v>
      </c>
      <c r="R144" t="str">
        <f t="shared" si="12"/>
        <v/>
      </c>
    </row>
    <row r="145" spans="1:19" ht="59.25" customHeight="1" x14ac:dyDescent="0.25">
      <c r="A145" s="55">
        <v>139</v>
      </c>
      <c r="B145" s="54">
        <v>3017227</v>
      </c>
      <c r="C145" s="54" t="s">
        <v>25</v>
      </c>
      <c r="D145" s="77" t="s">
        <v>379</v>
      </c>
      <c r="E145" s="69"/>
      <c r="F145" s="54"/>
      <c r="G145" s="60" t="s">
        <v>278</v>
      </c>
      <c r="H145" s="174">
        <f t="shared" si="10"/>
        <v>3017227</v>
      </c>
      <c r="I145" s="174" t="str">
        <f t="shared" si="11"/>
        <v>LT MUHAMMAD ASYRAAF BIN AZLEE</v>
      </c>
      <c r="J145" s="175" t="s">
        <v>278</v>
      </c>
      <c r="K145" s="175"/>
      <c r="L145" s="175"/>
      <c r="M145" s="62"/>
      <c r="N145" s="54"/>
      <c r="O145" s="54"/>
      <c r="P145" s="60"/>
      <c r="Q145" t="str">
        <f t="shared" si="13"/>
        <v>P3017227</v>
      </c>
      <c r="R145" t="str">
        <f t="shared" si="12"/>
        <v/>
      </c>
    </row>
    <row r="146" spans="1:19" ht="14.4" x14ac:dyDescent="0.25">
      <c r="A146" s="54">
        <v>140</v>
      </c>
      <c r="B146" s="54">
        <v>3015301</v>
      </c>
      <c r="C146" s="54" t="s">
        <v>25</v>
      </c>
      <c r="D146" s="62" t="s">
        <v>359</v>
      </c>
      <c r="E146" s="69"/>
      <c r="F146" s="54" t="s">
        <v>665</v>
      </c>
      <c r="G146" s="60"/>
      <c r="H146" s="174">
        <f t="shared" si="10"/>
        <v>3015301</v>
      </c>
      <c r="I146" s="174" t="str">
        <f t="shared" si="11"/>
        <v xml:space="preserve">LT NUR AQILAH BINTI MAZLAN </v>
      </c>
      <c r="J146" s="175" t="s">
        <v>665</v>
      </c>
      <c r="K146" s="175"/>
      <c r="L146" s="175"/>
      <c r="M146" s="62" t="s">
        <v>695</v>
      </c>
      <c r="N146" s="54"/>
      <c r="O146" s="54" t="s">
        <v>665</v>
      </c>
      <c r="P146" s="60"/>
      <c r="Q146" t="str">
        <f t="shared" si="13"/>
        <v>P3015301</v>
      </c>
      <c r="R146" t="str">
        <f t="shared" si="12"/>
        <v>EN FAIZZIE ZAINUDDIN</v>
      </c>
      <c r="S146" t="s">
        <v>665</v>
      </c>
    </row>
    <row r="147" spans="1:19" ht="59.25" customHeight="1" x14ac:dyDescent="0.25">
      <c r="A147" s="55">
        <v>141</v>
      </c>
      <c r="B147" s="54">
        <v>7537732</v>
      </c>
      <c r="C147" s="54" t="s">
        <v>25</v>
      </c>
      <c r="D147" s="62" t="s">
        <v>8</v>
      </c>
      <c r="E147" s="69"/>
      <c r="F147" s="54"/>
      <c r="G147" s="60" t="s">
        <v>278</v>
      </c>
      <c r="H147" s="174">
        <f t="shared" si="10"/>
        <v>7537732</v>
      </c>
      <c r="I147" s="174" t="str">
        <f t="shared" si="11"/>
        <v xml:space="preserve">LT AMY NUR SYAZHIDA BINTI JAMIRAN </v>
      </c>
      <c r="J147" s="175" t="s">
        <v>278</v>
      </c>
      <c r="K147" s="175"/>
      <c r="L147" s="175"/>
      <c r="M147" s="62"/>
      <c r="N147" s="54"/>
      <c r="O147" s="54"/>
      <c r="P147" s="60"/>
      <c r="Q147" t="str">
        <f t="shared" si="13"/>
        <v>P7537732</v>
      </c>
      <c r="R147" t="str">
        <f t="shared" si="12"/>
        <v/>
      </c>
    </row>
    <row r="148" spans="1:19" ht="59.25" customHeight="1" x14ac:dyDescent="0.25">
      <c r="A148" s="54">
        <v>142</v>
      </c>
      <c r="B148" s="54">
        <v>3016791</v>
      </c>
      <c r="C148" s="54" t="s">
        <v>25</v>
      </c>
      <c r="D148" s="62" t="s">
        <v>365</v>
      </c>
      <c r="E148" s="69"/>
      <c r="F148" s="54"/>
      <c r="G148" s="60" t="s">
        <v>278</v>
      </c>
      <c r="H148" s="174">
        <f t="shared" si="10"/>
        <v>3016791</v>
      </c>
      <c r="I148" s="174" t="str">
        <f t="shared" si="11"/>
        <v>LT MOHAMMAD FAUZAN BIN AZHAR</v>
      </c>
      <c r="J148" s="175" t="s">
        <v>278</v>
      </c>
      <c r="K148" s="175"/>
      <c r="L148" s="175"/>
      <c r="M148" s="62" t="s">
        <v>696</v>
      </c>
      <c r="N148" s="54"/>
      <c r="O148" s="54"/>
      <c r="P148" s="60" t="s">
        <v>278</v>
      </c>
      <c r="Q148" t="str">
        <f t="shared" si="13"/>
        <v>P3016791</v>
      </c>
      <c r="R148" t="str">
        <f t="shared" si="12"/>
        <v>PN NUR ELIA SHAFIRA BINTI ROSDI</v>
      </c>
      <c r="S148" t="s">
        <v>278</v>
      </c>
    </row>
    <row r="149" spans="1:19" ht="59.25" customHeight="1" x14ac:dyDescent="0.25">
      <c r="A149" s="55">
        <v>143</v>
      </c>
      <c r="B149" s="54">
        <v>3016793</v>
      </c>
      <c r="C149" s="54" t="s">
        <v>25</v>
      </c>
      <c r="D149" s="77" t="s">
        <v>347</v>
      </c>
      <c r="E149" s="69"/>
      <c r="F149" s="54"/>
      <c r="G149" s="60" t="s">
        <v>278</v>
      </c>
      <c r="H149" s="174">
        <f t="shared" si="10"/>
        <v>3016793</v>
      </c>
      <c r="I149" s="174" t="str">
        <f t="shared" si="11"/>
        <v xml:space="preserve">LT MOHAMMAD NOR SYAKIMIE B ABD AZIZ </v>
      </c>
      <c r="J149" s="175" t="s">
        <v>278</v>
      </c>
      <c r="K149" s="175"/>
      <c r="L149" s="175"/>
      <c r="M149" s="62"/>
      <c r="N149" s="54"/>
      <c r="O149" s="54"/>
      <c r="P149" s="60"/>
      <c r="Q149" t="str">
        <f t="shared" si="13"/>
        <v>P3016793</v>
      </c>
      <c r="R149" t="str">
        <f t="shared" si="12"/>
        <v/>
      </c>
    </row>
    <row r="150" spans="1:19" ht="59.25" customHeight="1" x14ac:dyDescent="0.25">
      <c r="A150" s="54">
        <v>144</v>
      </c>
      <c r="B150" s="54">
        <v>3016879</v>
      </c>
      <c r="C150" s="54" t="s">
        <v>25</v>
      </c>
      <c r="D150" s="77" t="s">
        <v>367</v>
      </c>
      <c r="E150" s="69"/>
      <c r="F150" s="54"/>
      <c r="G150" s="60" t="s">
        <v>278</v>
      </c>
      <c r="H150" s="174">
        <f t="shared" si="10"/>
        <v>3016879</v>
      </c>
      <c r="I150" s="174" t="str">
        <f t="shared" si="11"/>
        <v>LT MUHAMMAD QIWAMUDDIN BIN KHAIRUL ANUAR</v>
      </c>
      <c r="J150" s="175" t="s">
        <v>278</v>
      </c>
      <c r="K150" s="175"/>
      <c r="L150" s="175"/>
      <c r="M150" s="62" t="s">
        <v>697</v>
      </c>
      <c r="N150" s="54"/>
      <c r="O150" s="54"/>
      <c r="P150" s="60" t="s">
        <v>278</v>
      </c>
      <c r="Q150" t="str">
        <f t="shared" si="13"/>
        <v>P3016879</v>
      </c>
      <c r="R150" t="str">
        <f t="shared" si="12"/>
        <v>PN MARYAM ATIEQAH BINTI AHMAD HILMY</v>
      </c>
      <c r="S150" t="s">
        <v>278</v>
      </c>
    </row>
    <row r="151" spans="1:19" ht="60" customHeight="1" x14ac:dyDescent="0.25">
      <c r="A151" s="55">
        <v>145</v>
      </c>
      <c r="B151" s="54">
        <v>3016936</v>
      </c>
      <c r="C151" s="54" t="s">
        <v>25</v>
      </c>
      <c r="D151" s="77" t="s">
        <v>371</v>
      </c>
      <c r="E151" s="69"/>
      <c r="F151" s="54" t="s">
        <v>665</v>
      </c>
      <c r="G151" s="60"/>
      <c r="H151" s="174">
        <f t="shared" si="10"/>
        <v>3016936</v>
      </c>
      <c r="I151" s="174" t="str">
        <f t="shared" si="11"/>
        <v>LT TUAN MOHAMMAD HAFIZ BIN TUAN HASSAN</v>
      </c>
      <c r="J151" s="175" t="s">
        <v>665</v>
      </c>
      <c r="K151" s="175"/>
      <c r="L151" s="175"/>
      <c r="M151" s="62" t="s">
        <v>698</v>
      </c>
      <c r="N151" s="54"/>
      <c r="O151" s="54" t="s">
        <v>665</v>
      </c>
      <c r="P151" s="60"/>
      <c r="Q151" t="str">
        <f t="shared" si="13"/>
        <v>P3016936</v>
      </c>
      <c r="R151" t="str">
        <f t="shared" si="12"/>
        <v xml:space="preserve">PN AINNURNADHIRAH BINTI ABDUL SAMAD </v>
      </c>
      <c r="S151" t="s">
        <v>665</v>
      </c>
    </row>
    <row r="152" spans="1:19" ht="59.25" customHeight="1" x14ac:dyDescent="0.25">
      <c r="A152" s="54">
        <v>146</v>
      </c>
      <c r="B152" s="54">
        <v>3016032</v>
      </c>
      <c r="C152" s="54" t="s">
        <v>24</v>
      </c>
      <c r="D152" s="77" t="s">
        <v>372</v>
      </c>
      <c r="E152" s="69"/>
      <c r="F152" s="54" t="s">
        <v>665</v>
      </c>
      <c r="G152" s="60"/>
      <c r="H152" s="174">
        <f t="shared" si="10"/>
        <v>3016032</v>
      </c>
      <c r="I152" s="174" t="str">
        <f t="shared" si="11"/>
        <v>LT  NURUL FILZAH BINTI MOHD FAUZI</v>
      </c>
      <c r="J152" s="175" t="s">
        <v>665</v>
      </c>
      <c r="K152" s="175"/>
      <c r="L152" s="175"/>
      <c r="M152" s="62" t="s">
        <v>699</v>
      </c>
      <c r="N152" s="54" t="s">
        <v>664</v>
      </c>
      <c r="O152" s="54"/>
      <c r="P152" s="60"/>
      <c r="Q152" t="str">
        <f t="shared" si="13"/>
        <v>P3016032</v>
      </c>
      <c r="R152" t="str">
        <f t="shared" si="12"/>
        <v>EN MUHAMMAD ARIL FAISAL</v>
      </c>
      <c r="S152" t="s">
        <v>664</v>
      </c>
    </row>
    <row r="153" spans="1:19" ht="59.25" customHeight="1" x14ac:dyDescent="0.25">
      <c r="A153" s="55">
        <v>147</v>
      </c>
      <c r="B153" s="54">
        <v>3016038</v>
      </c>
      <c r="C153" s="54" t="s">
        <v>25</v>
      </c>
      <c r="D153" s="77" t="s">
        <v>373</v>
      </c>
      <c r="E153" s="69" t="s">
        <v>664</v>
      </c>
      <c r="F153" s="54"/>
      <c r="G153" s="60"/>
      <c r="H153" s="174">
        <f t="shared" si="10"/>
        <v>3016038</v>
      </c>
      <c r="I153" s="174" t="str">
        <f t="shared" si="11"/>
        <v>LT TWESHAA DEVI A/P JELVARAJAH</v>
      </c>
      <c r="J153" s="175" t="s">
        <v>664</v>
      </c>
      <c r="K153" s="175"/>
      <c r="L153" s="175"/>
      <c r="M153" s="62" t="s">
        <v>700</v>
      </c>
      <c r="N153" s="54"/>
      <c r="O153" s="54"/>
      <c r="P153" s="60" t="s">
        <v>278</v>
      </c>
      <c r="Q153" t="str">
        <f t="shared" si="13"/>
        <v>P3016038</v>
      </c>
      <c r="R153" t="str">
        <f t="shared" si="12"/>
        <v>EN YOSITRA JELVARAJAH</v>
      </c>
      <c r="S153" t="s">
        <v>278</v>
      </c>
    </row>
    <row r="154" spans="1:19" ht="59.25" customHeight="1" x14ac:dyDescent="0.25">
      <c r="A154" s="54">
        <v>148</v>
      </c>
      <c r="B154" s="54">
        <v>3017525</v>
      </c>
      <c r="C154" s="54" t="s">
        <v>24</v>
      </c>
      <c r="D154" s="77" t="s">
        <v>411</v>
      </c>
      <c r="E154" s="69"/>
      <c r="F154" s="54"/>
      <c r="G154" s="60" t="s">
        <v>278</v>
      </c>
      <c r="H154" s="174">
        <f t="shared" si="10"/>
        <v>3017525</v>
      </c>
      <c r="I154" s="174" t="str">
        <f t="shared" si="11"/>
        <v>LT  CLODEAN HITCHER NYALONG ANAK NOEL</v>
      </c>
      <c r="J154" s="175" t="s">
        <v>278</v>
      </c>
      <c r="K154" s="175"/>
      <c r="L154" s="175"/>
      <c r="M154" s="62" t="s">
        <v>701</v>
      </c>
      <c r="N154" s="54"/>
      <c r="O154" s="54" t="s">
        <v>665</v>
      </c>
      <c r="P154" s="60"/>
      <c r="Q154" t="str">
        <f t="shared" si="13"/>
        <v>P3017525</v>
      </c>
      <c r="R154" t="str">
        <f t="shared" si="12"/>
        <v>PN MAYVIA MICHELLE ANAK DIBIT</v>
      </c>
      <c r="S154" t="s">
        <v>665</v>
      </c>
    </row>
    <row r="155" spans="1:19" ht="59.25" customHeight="1" x14ac:dyDescent="0.25">
      <c r="A155" s="55">
        <v>149</v>
      </c>
      <c r="B155" s="54">
        <v>3017090</v>
      </c>
      <c r="C155" s="54" t="s">
        <v>25</v>
      </c>
      <c r="D155" s="77" t="s">
        <v>376</v>
      </c>
      <c r="E155" s="69"/>
      <c r="F155" s="54" t="s">
        <v>665</v>
      </c>
      <c r="G155" s="60"/>
      <c r="H155" s="174">
        <f t="shared" si="10"/>
        <v>3017090</v>
      </c>
      <c r="I155" s="174" t="str">
        <f t="shared" si="11"/>
        <v xml:space="preserve">LT AHMAD DA’IYAN BIN AHMAD NIZAM </v>
      </c>
      <c r="J155" s="175" t="s">
        <v>665</v>
      </c>
      <c r="K155" s="175"/>
      <c r="L155" s="175"/>
      <c r="M155" s="62" t="s">
        <v>702</v>
      </c>
      <c r="N155" s="54"/>
      <c r="O155" s="54"/>
      <c r="P155" s="60" t="s">
        <v>278</v>
      </c>
      <c r="Q155" t="str">
        <f t="shared" si="13"/>
        <v>P3017090</v>
      </c>
      <c r="R155" t="str">
        <f t="shared" si="12"/>
        <v>PN NUR AMALINA BINTI MOHAMMED WAZIR</v>
      </c>
      <c r="S155" t="s">
        <v>278</v>
      </c>
    </row>
    <row r="156" spans="1:19" ht="59.25" customHeight="1" x14ac:dyDescent="0.25">
      <c r="A156" s="54">
        <v>150</v>
      </c>
      <c r="B156" s="54">
        <v>3017291</v>
      </c>
      <c r="C156" s="54" t="s">
        <v>25</v>
      </c>
      <c r="D156" s="77" t="s">
        <v>356</v>
      </c>
      <c r="E156" s="69" t="s">
        <v>664</v>
      </c>
      <c r="F156" s="54"/>
      <c r="G156" s="60"/>
      <c r="H156" s="174">
        <f t="shared" si="10"/>
        <v>3017291</v>
      </c>
      <c r="I156" s="174" t="str">
        <f t="shared" si="11"/>
        <v>LT NORSHAZMIRA BINTI MOHD SAFRI</v>
      </c>
      <c r="J156" s="175" t="s">
        <v>664</v>
      </c>
      <c r="K156" s="175"/>
      <c r="L156" s="175"/>
      <c r="M156" s="62"/>
      <c r="N156" s="54"/>
      <c r="O156" s="54"/>
      <c r="P156" s="60"/>
      <c r="Q156" t="str">
        <f t="shared" si="13"/>
        <v>P3017291</v>
      </c>
      <c r="R156" t="str">
        <f t="shared" si="12"/>
        <v/>
      </c>
    </row>
    <row r="157" spans="1:19" ht="58.5" customHeight="1" x14ac:dyDescent="0.25">
      <c r="A157" s="55">
        <v>151</v>
      </c>
      <c r="B157" s="54">
        <v>3017103</v>
      </c>
      <c r="C157" s="54" t="s">
        <v>25</v>
      </c>
      <c r="D157" s="77" t="s">
        <v>378</v>
      </c>
      <c r="E157" s="69"/>
      <c r="F157" s="54" t="s">
        <v>665</v>
      </c>
      <c r="G157" s="60"/>
      <c r="H157" s="174">
        <f t="shared" si="10"/>
        <v>3017103</v>
      </c>
      <c r="I157" s="174" t="str">
        <f t="shared" si="11"/>
        <v>LT AHMAD ZHAFRI ZAL HASMI BIN  MOHD HASHIM</v>
      </c>
      <c r="J157" s="175" t="s">
        <v>665</v>
      </c>
      <c r="K157" s="175"/>
      <c r="L157" s="175"/>
      <c r="M157" s="62"/>
      <c r="N157" s="54"/>
      <c r="O157" s="54"/>
      <c r="P157" s="60"/>
      <c r="Q157" t="str">
        <f t="shared" si="13"/>
        <v>P3017103</v>
      </c>
      <c r="R157" t="str">
        <f t="shared" si="12"/>
        <v/>
      </c>
    </row>
    <row r="158" spans="1:19" ht="59.25" customHeight="1" x14ac:dyDescent="0.25">
      <c r="A158" s="54">
        <v>152</v>
      </c>
      <c r="B158" s="54">
        <v>7532932</v>
      </c>
      <c r="C158" s="54" t="s">
        <v>25</v>
      </c>
      <c r="D158" s="77" t="s">
        <v>354</v>
      </c>
      <c r="E158" s="69"/>
      <c r="F158" s="54"/>
      <c r="G158" s="60" t="s">
        <v>278</v>
      </c>
      <c r="H158" s="174">
        <f t="shared" si="10"/>
        <v>7532932</v>
      </c>
      <c r="I158" s="174" t="str">
        <f t="shared" si="11"/>
        <v xml:space="preserve">LT UMMU HAZIRA HANI BINTI JOHAN </v>
      </c>
      <c r="J158" s="175" t="s">
        <v>278</v>
      </c>
      <c r="K158" s="175"/>
      <c r="L158" s="175"/>
      <c r="M158" s="62"/>
      <c r="N158" s="54"/>
      <c r="O158" s="54"/>
      <c r="P158" s="60"/>
      <c r="Q158" t="str">
        <f t="shared" si="13"/>
        <v>P7532932</v>
      </c>
      <c r="R158" t="str">
        <f t="shared" si="12"/>
        <v/>
      </c>
    </row>
    <row r="159" spans="1:19" ht="14.4" x14ac:dyDescent="0.25">
      <c r="A159" s="55">
        <v>153</v>
      </c>
      <c r="B159" s="54">
        <v>7536116</v>
      </c>
      <c r="C159" s="54" t="s">
        <v>25</v>
      </c>
      <c r="D159" s="62" t="s">
        <v>403</v>
      </c>
      <c r="E159" s="69" t="s">
        <v>664</v>
      </c>
      <c r="F159" s="54"/>
      <c r="G159" s="60"/>
      <c r="H159" s="174">
        <f t="shared" si="10"/>
        <v>7536116</v>
      </c>
      <c r="I159" s="174" t="str">
        <f t="shared" si="11"/>
        <v xml:space="preserve">LT NURUL ADILAH BT ABD MALEK  </v>
      </c>
      <c r="J159" s="175" t="s">
        <v>664</v>
      </c>
      <c r="K159" s="175"/>
      <c r="L159" s="175"/>
      <c r="M159" s="62"/>
      <c r="N159" s="54"/>
      <c r="O159" s="54"/>
      <c r="P159" s="60"/>
      <c r="Q159" t="str">
        <f t="shared" si="13"/>
        <v>P7536116</v>
      </c>
      <c r="R159" t="str">
        <f t="shared" si="12"/>
        <v/>
      </c>
    </row>
    <row r="160" spans="1:19" ht="14.4" x14ac:dyDescent="0.25">
      <c r="A160" s="54">
        <v>154</v>
      </c>
      <c r="B160" s="54">
        <v>7537019</v>
      </c>
      <c r="C160" s="54" t="s">
        <v>25</v>
      </c>
      <c r="D160" s="78" t="s">
        <v>13</v>
      </c>
      <c r="E160" s="69"/>
      <c r="F160" s="54" t="s">
        <v>665</v>
      </c>
      <c r="G160" s="60"/>
      <c r="H160" s="174">
        <f t="shared" si="10"/>
        <v>7537019</v>
      </c>
      <c r="I160" s="174" t="str">
        <f t="shared" si="11"/>
        <v>LT NURUL FAZILLAH BINTI JUSEEF</v>
      </c>
      <c r="J160" s="175" t="s">
        <v>665</v>
      </c>
      <c r="K160" s="175"/>
      <c r="L160" s="175"/>
      <c r="M160" s="62" t="s">
        <v>703</v>
      </c>
      <c r="N160" s="54"/>
      <c r="O160" s="54" t="s">
        <v>665</v>
      </c>
      <c r="P160" s="60"/>
      <c r="Q160" t="str">
        <f t="shared" si="13"/>
        <v>P7537019</v>
      </c>
      <c r="R160" t="str">
        <f t="shared" si="12"/>
        <v>EN MOHD NASRUL BIN SAFUDIN</v>
      </c>
      <c r="S160" t="s">
        <v>665</v>
      </c>
    </row>
    <row r="161" spans="1:19" ht="60" customHeight="1" x14ac:dyDescent="0.25">
      <c r="A161" s="55">
        <v>155</v>
      </c>
      <c r="B161" s="54">
        <v>7536971</v>
      </c>
      <c r="C161" s="54" t="s">
        <v>25</v>
      </c>
      <c r="D161" s="62" t="s">
        <v>15</v>
      </c>
      <c r="E161" s="69"/>
      <c r="F161" s="54" t="s">
        <v>665</v>
      </c>
      <c r="G161" s="60"/>
      <c r="H161" s="174">
        <f t="shared" si="10"/>
        <v>7536971</v>
      </c>
      <c r="I161" s="174" t="str">
        <f t="shared" si="11"/>
        <v>LT FAUZIAH BINTI ALI AHMAD</v>
      </c>
      <c r="J161" s="175" t="s">
        <v>665</v>
      </c>
      <c r="K161" s="175"/>
      <c r="L161" s="175"/>
      <c r="M161" s="62" t="s">
        <v>549</v>
      </c>
      <c r="N161" s="54"/>
      <c r="O161" s="54" t="s">
        <v>665</v>
      </c>
      <c r="P161" s="60"/>
      <c r="Q161" t="str">
        <f t="shared" si="13"/>
        <v>P7536971</v>
      </c>
      <c r="R161" t="str">
        <f t="shared" si="12"/>
        <v>TC. MUHAMMAD FAHIZNAWAWIE BIN ALIDDIN</v>
      </c>
      <c r="S161" t="s">
        <v>665</v>
      </c>
    </row>
    <row r="162" spans="1:19" ht="60" customHeight="1" x14ac:dyDescent="0.25">
      <c r="A162" s="54">
        <v>156</v>
      </c>
      <c r="B162" s="54">
        <v>7537236</v>
      </c>
      <c r="C162" s="54" t="s">
        <v>25</v>
      </c>
      <c r="D162" s="62" t="s">
        <v>10</v>
      </c>
      <c r="E162" s="69"/>
      <c r="F162" s="54" t="s">
        <v>665</v>
      </c>
      <c r="G162" s="60"/>
      <c r="H162" s="174">
        <f t="shared" si="10"/>
        <v>7537236</v>
      </c>
      <c r="I162" s="174" t="str">
        <f t="shared" si="11"/>
        <v>LT NUR BADRISHA BINTI MOHD SAMSUDIN</v>
      </c>
      <c r="J162" s="175" t="s">
        <v>665</v>
      </c>
      <c r="K162" s="175"/>
      <c r="L162" s="175"/>
      <c r="M162" s="62" t="s">
        <v>556</v>
      </c>
      <c r="N162" s="54"/>
      <c r="O162" s="54"/>
      <c r="P162" s="60" t="s">
        <v>278</v>
      </c>
      <c r="Q162" t="str">
        <f t="shared" si="13"/>
        <v>P7537236</v>
      </c>
      <c r="R162" t="str">
        <f t="shared" si="12"/>
        <v>KAPT MUHAMMAD HAFIY HAMIZAN BIN MD RIFE</v>
      </c>
      <c r="S162" t="s">
        <v>278</v>
      </c>
    </row>
    <row r="163" spans="1:19" ht="59.25" customHeight="1" x14ac:dyDescent="0.25">
      <c r="A163" s="55">
        <v>157</v>
      </c>
      <c r="B163" s="54">
        <v>7536691</v>
      </c>
      <c r="C163" s="54" t="s">
        <v>25</v>
      </c>
      <c r="D163" s="62" t="s">
        <v>405</v>
      </c>
      <c r="E163" s="69"/>
      <c r="F163" s="54" t="s">
        <v>665</v>
      </c>
      <c r="G163" s="60"/>
      <c r="H163" s="174">
        <f t="shared" si="10"/>
        <v>7536691</v>
      </c>
      <c r="I163" s="174" t="str">
        <f t="shared" si="11"/>
        <v>LT MOHD NAZIRUL MUBIN BIN ABDUL RAZAK</v>
      </c>
      <c r="J163" s="175" t="s">
        <v>665</v>
      </c>
      <c r="K163" s="175"/>
      <c r="L163" s="175"/>
      <c r="M163" s="62" t="s">
        <v>704</v>
      </c>
      <c r="N163" s="54"/>
      <c r="O163" s="54"/>
      <c r="P163" s="60" t="s">
        <v>278</v>
      </c>
      <c r="Q163" t="str">
        <f t="shared" si="13"/>
        <v>P7536691</v>
      </c>
      <c r="R163" t="str">
        <f t="shared" si="12"/>
        <v xml:space="preserve">PN NURUL BADRIYAH BINTI YUSOFF </v>
      </c>
      <c r="S163" t="s">
        <v>278</v>
      </c>
    </row>
    <row r="164" spans="1:19" ht="60" customHeight="1" x14ac:dyDescent="0.25">
      <c r="A164" s="54">
        <v>158</v>
      </c>
      <c r="B164" s="54">
        <v>3016247</v>
      </c>
      <c r="C164" s="54" t="s">
        <v>25</v>
      </c>
      <c r="D164" s="62" t="s">
        <v>407</v>
      </c>
      <c r="E164" s="69"/>
      <c r="F164" s="54" t="s">
        <v>665</v>
      </c>
      <c r="G164" s="60"/>
      <c r="H164" s="174">
        <f t="shared" si="10"/>
        <v>3016247</v>
      </c>
      <c r="I164" s="174" t="str">
        <f t="shared" si="11"/>
        <v>LT MUHAMMAD SHAHRIN ANUAR BIN MOHD SHAMIZAM@SUHAIMI</v>
      </c>
      <c r="J164" s="175" t="s">
        <v>665</v>
      </c>
      <c r="K164" s="175"/>
      <c r="L164" s="175"/>
      <c r="M164" s="62" t="s">
        <v>626</v>
      </c>
      <c r="N164" s="54"/>
      <c r="O164" s="54"/>
      <c r="P164" s="60" t="s">
        <v>278</v>
      </c>
      <c r="Q164" t="str">
        <f t="shared" si="13"/>
        <v>P3016247</v>
      </c>
      <c r="R164" t="str">
        <f t="shared" si="12"/>
        <v>KU FARISHA NABILAH BIN KU FAUZI</v>
      </c>
      <c r="S164" t="s">
        <v>278</v>
      </c>
    </row>
    <row r="165" spans="1:19" ht="59.25" customHeight="1" x14ac:dyDescent="0.25">
      <c r="A165" s="55">
        <v>159</v>
      </c>
      <c r="B165" s="54">
        <v>3017729</v>
      </c>
      <c r="C165" s="54" t="s">
        <v>25</v>
      </c>
      <c r="D165" s="77" t="s">
        <v>421</v>
      </c>
      <c r="E165" s="69"/>
      <c r="F165" s="54" t="s">
        <v>665</v>
      </c>
      <c r="G165" s="60"/>
      <c r="H165" s="174">
        <f t="shared" si="10"/>
        <v>3017729</v>
      </c>
      <c r="I165" s="174" t="str">
        <f t="shared" si="11"/>
        <v>LT NURUL IZZATY BINTI RIDZUAN</v>
      </c>
      <c r="J165" s="175" t="s">
        <v>665</v>
      </c>
      <c r="K165" s="175"/>
      <c r="L165" s="175"/>
      <c r="M165" s="62" t="s">
        <v>705</v>
      </c>
      <c r="N165" s="54"/>
      <c r="O165" s="54"/>
      <c r="P165" s="60" t="s">
        <v>278</v>
      </c>
      <c r="Q165" t="str">
        <f t="shared" si="13"/>
        <v>P3017729</v>
      </c>
      <c r="R165" t="str">
        <f t="shared" si="12"/>
        <v>PN AYATULLAH IMAM KHOMEINI BIN MAZRI</v>
      </c>
      <c r="S165" t="s">
        <v>278</v>
      </c>
    </row>
    <row r="166" spans="1:19" ht="59.25" customHeight="1" x14ac:dyDescent="0.25">
      <c r="A166" s="54">
        <v>160</v>
      </c>
      <c r="B166" s="54">
        <v>3017504</v>
      </c>
      <c r="C166" s="54" t="s">
        <v>25</v>
      </c>
      <c r="D166" s="77" t="s">
        <v>409</v>
      </c>
      <c r="E166" s="69"/>
      <c r="F166" s="54" t="s">
        <v>665</v>
      </c>
      <c r="G166" s="60"/>
      <c r="H166" s="174">
        <f t="shared" si="10"/>
        <v>3017504</v>
      </c>
      <c r="I166" s="174" t="str">
        <f t="shared" si="11"/>
        <v>LT AHMAD NURNAQIB BIN NASHARUDDIN</v>
      </c>
      <c r="J166" s="175" t="s">
        <v>665</v>
      </c>
      <c r="K166" s="175"/>
      <c r="L166" s="175"/>
      <c r="M166" s="62" t="s">
        <v>706</v>
      </c>
      <c r="N166" s="54" t="s">
        <v>664</v>
      </c>
      <c r="O166" s="54"/>
      <c r="P166" s="60"/>
      <c r="Q166" t="str">
        <f t="shared" si="13"/>
        <v>P3017504</v>
      </c>
      <c r="R166" t="str">
        <f t="shared" si="12"/>
        <v>PN NUR SYAHIRAH BINTI MOHAMED AZMI</v>
      </c>
      <c r="S166" t="s">
        <v>664</v>
      </c>
    </row>
    <row r="167" spans="1:19" ht="59.25" customHeight="1" x14ac:dyDescent="0.25">
      <c r="A167" s="55">
        <v>161</v>
      </c>
      <c r="B167" s="54">
        <v>3017752</v>
      </c>
      <c r="C167" s="54" t="s">
        <v>25</v>
      </c>
      <c r="D167" s="77" t="s">
        <v>422</v>
      </c>
      <c r="E167" s="69"/>
      <c r="F167" s="54" t="s">
        <v>665</v>
      </c>
      <c r="G167" s="60"/>
      <c r="H167" s="174">
        <f t="shared" si="10"/>
        <v>3017752</v>
      </c>
      <c r="I167" s="174" t="str">
        <f t="shared" si="11"/>
        <v>LT WAN NURDINI BINTI MIOR ABD HALIM</v>
      </c>
      <c r="J167" s="175" t="s">
        <v>665</v>
      </c>
      <c r="K167" s="175"/>
      <c r="L167" s="175"/>
      <c r="M167" s="62" t="s">
        <v>707</v>
      </c>
      <c r="N167" s="54"/>
      <c r="O167" s="54"/>
      <c r="P167" s="60" t="s">
        <v>278</v>
      </c>
      <c r="Q167" t="str">
        <f t="shared" si="13"/>
        <v>P3017752</v>
      </c>
      <c r="R167" t="str">
        <f t="shared" si="12"/>
        <v>PN MUHAMMAD AKMAL FIKRI BIN KASSIM</v>
      </c>
      <c r="S167" t="s">
        <v>278</v>
      </c>
    </row>
    <row r="168" spans="1:19" ht="59.25" customHeight="1" x14ac:dyDescent="0.25">
      <c r="A168" s="54">
        <v>162</v>
      </c>
      <c r="B168" s="54">
        <v>3017553</v>
      </c>
      <c r="C168" s="54" t="s">
        <v>25</v>
      </c>
      <c r="D168" s="77" t="s">
        <v>414</v>
      </c>
      <c r="E168" s="69"/>
      <c r="F168" s="54"/>
      <c r="G168" s="60" t="s">
        <v>278</v>
      </c>
      <c r="H168" s="174">
        <f t="shared" si="10"/>
        <v>3017553</v>
      </c>
      <c r="I168" s="174" t="str">
        <f t="shared" si="11"/>
        <v>LT MOHAMAD AMIRUL HAMIZAN BIN MUBIN</v>
      </c>
      <c r="J168" s="175" t="s">
        <v>278</v>
      </c>
      <c r="K168" s="175"/>
      <c r="L168" s="175"/>
      <c r="M168" s="62" t="s">
        <v>708</v>
      </c>
      <c r="N168" s="54" t="s">
        <v>664</v>
      </c>
      <c r="O168" s="54"/>
      <c r="P168" s="60"/>
      <c r="Q168" t="str">
        <f t="shared" si="13"/>
        <v>P3017553</v>
      </c>
      <c r="R168" t="str">
        <f t="shared" si="12"/>
        <v>PN SURIYANIE BINTI MUSSALAM</v>
      </c>
      <c r="S168" t="s">
        <v>664</v>
      </c>
    </row>
    <row r="169" spans="1:19" ht="14.4" x14ac:dyDescent="0.25">
      <c r="A169" s="55">
        <v>163</v>
      </c>
      <c r="B169" s="54">
        <v>3015304</v>
      </c>
      <c r="C169" s="54" t="s">
        <v>25</v>
      </c>
      <c r="D169" s="77" t="s">
        <v>361</v>
      </c>
      <c r="E169" s="69"/>
      <c r="F169" s="54"/>
      <c r="G169" s="60" t="s">
        <v>278</v>
      </c>
      <c r="H169" s="174">
        <f t="shared" si="10"/>
        <v>3015304</v>
      </c>
      <c r="I169" s="174" t="str">
        <f t="shared" si="11"/>
        <v>LT NUR HIDAYAH BINTI ANUAR</v>
      </c>
      <c r="J169" s="175" t="s">
        <v>278</v>
      </c>
      <c r="K169" s="175"/>
      <c r="L169" s="175"/>
      <c r="M169" s="62"/>
      <c r="N169" s="54"/>
      <c r="O169" s="54"/>
      <c r="P169" s="60"/>
      <c r="Q169" t="str">
        <f t="shared" si="13"/>
        <v>P3015304</v>
      </c>
      <c r="R169" t="str">
        <f t="shared" si="12"/>
        <v/>
      </c>
    </row>
    <row r="170" spans="1:19" ht="59.25" customHeight="1" x14ac:dyDescent="0.25">
      <c r="A170" s="54">
        <v>164</v>
      </c>
      <c r="B170" s="54">
        <v>3017707</v>
      </c>
      <c r="C170" s="54" t="s">
        <v>25</v>
      </c>
      <c r="D170" s="77" t="s">
        <v>420</v>
      </c>
      <c r="E170" s="69"/>
      <c r="F170" s="54" t="s">
        <v>665</v>
      </c>
      <c r="G170" s="60"/>
      <c r="H170" s="174">
        <f t="shared" si="10"/>
        <v>3017707</v>
      </c>
      <c r="I170" s="174" t="str">
        <f t="shared" si="11"/>
        <v>LT NUR AMIERAH BINTI ZULKIFLI</v>
      </c>
      <c r="J170" s="175" t="s">
        <v>665</v>
      </c>
      <c r="K170" s="175"/>
      <c r="L170" s="175"/>
      <c r="M170" s="62"/>
      <c r="N170" s="54"/>
      <c r="O170" s="54"/>
      <c r="P170" s="60"/>
      <c r="Q170" t="str">
        <f t="shared" si="13"/>
        <v>P3017707</v>
      </c>
      <c r="R170" t="str">
        <f t="shared" si="12"/>
        <v/>
      </c>
    </row>
    <row r="171" spans="1:19" ht="60" customHeight="1" x14ac:dyDescent="0.25">
      <c r="A171" s="55">
        <v>165</v>
      </c>
      <c r="B171" s="54">
        <v>7539364</v>
      </c>
      <c r="C171" s="54" t="s">
        <v>25</v>
      </c>
      <c r="D171" s="77" t="s">
        <v>358</v>
      </c>
      <c r="E171" s="69"/>
      <c r="F171" s="54" t="s">
        <v>665</v>
      </c>
      <c r="G171" s="60"/>
      <c r="H171" s="174">
        <f t="shared" si="10"/>
        <v>7539364</v>
      </c>
      <c r="I171" s="174" t="str">
        <f t="shared" si="11"/>
        <v xml:space="preserve">LT NUR AMALINA BINTI MOHD SAFI </v>
      </c>
      <c r="J171" s="175" t="s">
        <v>665</v>
      </c>
      <c r="K171" s="175"/>
      <c r="L171" s="175"/>
      <c r="M171" s="62" t="s">
        <v>709</v>
      </c>
      <c r="N171" s="54"/>
      <c r="O171" s="54" t="s">
        <v>665</v>
      </c>
      <c r="P171" s="60"/>
      <c r="Q171" t="str">
        <f t="shared" ref="Q171:Q184" si="14">CONCATENATE("P",B171)</f>
        <v>P7539364</v>
      </c>
      <c r="R171" t="str">
        <f t="shared" si="12"/>
        <v>EN MUHAMMAD AMIROOL ILTIZAM BIN ISMAIL</v>
      </c>
      <c r="S171" t="s">
        <v>665</v>
      </c>
    </row>
    <row r="172" spans="1:19" ht="14.4" x14ac:dyDescent="0.25">
      <c r="A172" s="54">
        <v>166</v>
      </c>
      <c r="B172" s="54">
        <v>7538168</v>
      </c>
      <c r="C172" s="54" t="s">
        <v>25</v>
      </c>
      <c r="D172" s="77" t="s">
        <v>380</v>
      </c>
      <c r="E172" s="69" t="s">
        <v>664</v>
      </c>
      <c r="F172" s="54"/>
      <c r="G172" s="60"/>
      <c r="H172" s="174">
        <f t="shared" si="10"/>
        <v>7538168</v>
      </c>
      <c r="I172" s="174" t="str">
        <f t="shared" si="11"/>
        <v>LT NURUL SHUHADAH BINTI RAHMAT</v>
      </c>
      <c r="J172" s="175" t="s">
        <v>664</v>
      </c>
      <c r="K172" s="175"/>
      <c r="L172" s="175"/>
      <c r="M172" s="62" t="s">
        <v>710</v>
      </c>
      <c r="N172" s="54" t="s">
        <v>664</v>
      </c>
      <c r="O172" s="54"/>
      <c r="P172" s="60"/>
      <c r="Q172" t="str">
        <f t="shared" si="14"/>
        <v>P7538168</v>
      </c>
      <c r="R172" t="str">
        <f t="shared" si="12"/>
        <v>EN AMIR IMRAN BIN RAMLI</v>
      </c>
      <c r="S172" t="s">
        <v>664</v>
      </c>
    </row>
    <row r="173" spans="1:19" ht="59.25" customHeight="1" x14ac:dyDescent="0.25">
      <c r="A173" s="55">
        <v>167</v>
      </c>
      <c r="B173" s="54">
        <v>7538166</v>
      </c>
      <c r="C173" s="54" t="s">
        <v>25</v>
      </c>
      <c r="D173" s="77" t="s">
        <v>423</v>
      </c>
      <c r="E173" s="69"/>
      <c r="F173" s="54"/>
      <c r="G173" s="60" t="s">
        <v>278</v>
      </c>
      <c r="H173" s="174">
        <f t="shared" si="10"/>
        <v>7538166</v>
      </c>
      <c r="I173" s="174" t="str">
        <f t="shared" si="11"/>
        <v>LT NURUL AFIQAH BINTI ADNAN</v>
      </c>
      <c r="J173" s="175" t="s">
        <v>278</v>
      </c>
      <c r="K173" s="175"/>
      <c r="L173" s="175"/>
      <c r="M173" s="62" t="s">
        <v>711</v>
      </c>
      <c r="N173" s="54" t="s">
        <v>664</v>
      </c>
      <c r="O173" s="54"/>
      <c r="P173" s="60"/>
      <c r="Q173" t="str">
        <f t="shared" si="14"/>
        <v>P7538166</v>
      </c>
      <c r="R173" t="str">
        <f t="shared" si="12"/>
        <v>EN MUHAMMAD AIDIL ASHRAFF BIN RAZALI</v>
      </c>
      <c r="S173" t="s">
        <v>664</v>
      </c>
    </row>
    <row r="174" spans="1:19" ht="59.25" customHeight="1" x14ac:dyDescent="0.25">
      <c r="A174" s="54">
        <v>168</v>
      </c>
      <c r="B174" s="54">
        <v>7537221</v>
      </c>
      <c r="C174" s="54" t="s">
        <v>25</v>
      </c>
      <c r="D174" s="77" t="s">
        <v>631</v>
      </c>
      <c r="E174" s="69" t="s">
        <v>664</v>
      </c>
      <c r="F174" s="54"/>
      <c r="G174" s="60"/>
      <c r="H174" s="174">
        <f t="shared" si="10"/>
        <v>7537221</v>
      </c>
      <c r="I174" s="174" t="str">
        <f t="shared" si="11"/>
        <v>LT NURSYUHADAH BINTI ZULFAKUR</v>
      </c>
      <c r="J174" s="175" t="s">
        <v>664</v>
      </c>
      <c r="K174" s="175"/>
      <c r="L174" s="175"/>
      <c r="M174" s="62" t="s">
        <v>632</v>
      </c>
      <c r="N174" s="54"/>
      <c r="O174" s="54" t="s">
        <v>665</v>
      </c>
      <c r="P174" s="60"/>
      <c r="Q174" t="str">
        <f t="shared" si="14"/>
        <v>P7537221</v>
      </c>
      <c r="R174" t="str">
        <f t="shared" si="12"/>
        <v>KAPT MOHAMAD SHUKRI BIN JUNOH</v>
      </c>
      <c r="S174" t="s">
        <v>665</v>
      </c>
    </row>
    <row r="175" spans="1:19" ht="59.25" customHeight="1" x14ac:dyDescent="0.25">
      <c r="A175" s="55">
        <v>169</v>
      </c>
      <c r="B175" s="54">
        <v>7541401</v>
      </c>
      <c r="C175" s="54" t="s">
        <v>25</v>
      </c>
      <c r="D175" s="77" t="s">
        <v>633</v>
      </c>
      <c r="E175" s="69"/>
      <c r="F175" s="54" t="s">
        <v>665</v>
      </c>
      <c r="G175" s="60"/>
      <c r="H175" s="174">
        <f t="shared" si="10"/>
        <v>7541401</v>
      </c>
      <c r="I175" s="174" t="str">
        <f t="shared" si="11"/>
        <v>LT UMMI FARHANA BINTI KAMARUL ZAMAN</v>
      </c>
      <c r="J175" s="175" t="s">
        <v>665</v>
      </c>
      <c r="K175" s="175"/>
      <c r="L175" s="175"/>
      <c r="M175" s="62" t="s">
        <v>634</v>
      </c>
      <c r="N175" s="54"/>
      <c r="O175" s="54" t="s">
        <v>665</v>
      </c>
      <c r="P175" s="60"/>
      <c r="Q175" t="str">
        <f t="shared" si="14"/>
        <v>P7541401</v>
      </c>
      <c r="R175" t="str">
        <f t="shared" si="12"/>
        <v>LT RIFFAT BIN MOHD YUSOF</v>
      </c>
      <c r="S175" t="s">
        <v>665</v>
      </c>
    </row>
    <row r="176" spans="1:19" ht="59.25" customHeight="1" x14ac:dyDescent="0.25">
      <c r="A176" s="54">
        <v>170</v>
      </c>
      <c r="B176" s="54">
        <v>7539350</v>
      </c>
      <c r="C176" s="54" t="s">
        <v>25</v>
      </c>
      <c r="D176" s="77" t="s">
        <v>635</v>
      </c>
      <c r="E176" s="69"/>
      <c r="F176" s="54" t="s">
        <v>665</v>
      </c>
      <c r="G176" s="60"/>
      <c r="H176" s="174">
        <f t="shared" si="10"/>
        <v>7539350</v>
      </c>
      <c r="I176" s="174" t="str">
        <f t="shared" si="11"/>
        <v>LT LILY NORHSHAHKIRA BINTI MOHD HIDIR</v>
      </c>
      <c r="J176" s="175" t="s">
        <v>665</v>
      </c>
      <c r="K176" s="175"/>
      <c r="L176" s="175"/>
      <c r="M176" s="62" t="s">
        <v>712</v>
      </c>
      <c r="N176" s="54"/>
      <c r="O176" s="54" t="s">
        <v>665</v>
      </c>
      <c r="P176" s="60"/>
      <c r="Q176" t="str">
        <f t="shared" si="14"/>
        <v>P7539350</v>
      </c>
      <c r="R176" t="str">
        <f t="shared" si="12"/>
        <v>EN MOHAMAD TERMIZI BIN ZOLKIFLY</v>
      </c>
      <c r="S176" t="s">
        <v>665</v>
      </c>
    </row>
    <row r="177" spans="1:19" ht="59.25" customHeight="1" x14ac:dyDescent="0.25">
      <c r="A177" s="55">
        <v>171</v>
      </c>
      <c r="B177" s="54">
        <v>7540139</v>
      </c>
      <c r="C177" s="54" t="s">
        <v>25</v>
      </c>
      <c r="D177" s="77" t="s">
        <v>637</v>
      </c>
      <c r="E177" s="69" t="s">
        <v>664</v>
      </c>
      <c r="F177" s="54"/>
      <c r="G177" s="60"/>
      <c r="H177" s="174">
        <f t="shared" si="10"/>
        <v>7540139</v>
      </c>
      <c r="I177" s="174" t="str">
        <f t="shared" si="11"/>
        <v>LT RADIN IKHMAL BIN RADIN SAKTI</v>
      </c>
      <c r="J177" s="175" t="s">
        <v>664</v>
      </c>
      <c r="K177" s="175"/>
      <c r="L177" s="175"/>
      <c r="M177" s="62" t="s">
        <v>713</v>
      </c>
      <c r="N177" s="54"/>
      <c r="O177" s="54" t="s">
        <v>665</v>
      </c>
      <c r="P177" s="60"/>
      <c r="Q177" t="str">
        <f t="shared" si="14"/>
        <v>P7540139</v>
      </c>
      <c r="R177" t="str">
        <f t="shared" si="12"/>
        <v>PN NUR FAZILA AZWA BINTI MOHAMED RODZI</v>
      </c>
      <c r="S177" t="s">
        <v>665</v>
      </c>
    </row>
    <row r="178" spans="1:19" ht="59.25" customHeight="1" x14ac:dyDescent="0.25">
      <c r="A178" s="54">
        <v>172</v>
      </c>
      <c r="B178" s="54">
        <v>3017957</v>
      </c>
      <c r="C178" s="54" t="s">
        <v>3</v>
      </c>
      <c r="D178" s="77" t="s">
        <v>505</v>
      </c>
      <c r="E178" s="69"/>
      <c r="F178" s="54" t="s">
        <v>665</v>
      </c>
      <c r="G178" s="60"/>
      <c r="H178" s="174">
        <f t="shared" si="10"/>
        <v>3017957</v>
      </c>
      <c r="I178" s="174" t="str">
        <f t="shared" si="11"/>
        <v xml:space="preserve">LT M ANIS RADHIAH BINTI MUHD RADZI </v>
      </c>
      <c r="J178" s="175" t="s">
        <v>665</v>
      </c>
      <c r="K178" s="175"/>
      <c r="L178" s="175"/>
      <c r="M178" s="62" t="s">
        <v>714</v>
      </c>
      <c r="N178" s="54" t="s">
        <v>664</v>
      </c>
      <c r="O178" s="54"/>
      <c r="P178" s="60"/>
      <c r="Q178" t="str">
        <f t="shared" si="14"/>
        <v>P3017957</v>
      </c>
      <c r="R178" t="str">
        <f t="shared" si="12"/>
        <v>EN MOHAMAD FAKHROL AIMAN BIN AZMI</v>
      </c>
      <c r="S178" t="s">
        <v>664</v>
      </c>
    </row>
    <row r="179" spans="1:19" ht="14.4" x14ac:dyDescent="0.25">
      <c r="A179" s="55">
        <v>173</v>
      </c>
      <c r="B179" s="54">
        <v>3017984</v>
      </c>
      <c r="C179" s="54" t="s">
        <v>3</v>
      </c>
      <c r="D179" s="77" t="s">
        <v>507</v>
      </c>
      <c r="E179" s="69"/>
      <c r="F179" s="54" t="s">
        <v>665</v>
      </c>
      <c r="G179" s="60"/>
      <c r="H179" s="174">
        <f t="shared" si="10"/>
        <v>3017984</v>
      </c>
      <c r="I179" s="174" t="str">
        <f t="shared" si="11"/>
        <v xml:space="preserve">LT M MIRZA BINTI MOHD FAUZI </v>
      </c>
      <c r="J179" s="175" t="s">
        <v>665</v>
      </c>
      <c r="K179" s="175"/>
      <c r="L179" s="175"/>
      <c r="M179" s="62" t="s">
        <v>715</v>
      </c>
      <c r="N179" s="54" t="s">
        <v>664</v>
      </c>
      <c r="O179" s="54"/>
      <c r="P179" s="60"/>
      <c r="Q179" t="str">
        <f t="shared" si="14"/>
        <v>P3017984</v>
      </c>
      <c r="R179" t="str">
        <f t="shared" si="12"/>
        <v>EN MUHAMMAD NAZMIERUL ADHA</v>
      </c>
      <c r="S179" t="s">
        <v>664</v>
      </c>
    </row>
    <row r="180" spans="1:19" ht="59.25" customHeight="1" x14ac:dyDescent="0.25">
      <c r="A180" s="54">
        <v>174</v>
      </c>
      <c r="B180" s="54">
        <v>3017988</v>
      </c>
      <c r="C180" s="54" t="s">
        <v>3</v>
      </c>
      <c r="D180" s="62" t="s">
        <v>508</v>
      </c>
      <c r="E180" s="69"/>
      <c r="F180" s="54" t="s">
        <v>665</v>
      </c>
      <c r="G180" s="60"/>
      <c r="H180" s="174">
        <f t="shared" si="10"/>
        <v>3017988</v>
      </c>
      <c r="I180" s="174" t="str">
        <f t="shared" si="11"/>
        <v xml:space="preserve">LT M MOHAMAD AZRUL BIN FADZIL </v>
      </c>
      <c r="J180" s="175" t="s">
        <v>665</v>
      </c>
      <c r="K180" s="175"/>
      <c r="L180" s="175"/>
      <c r="M180" s="62" t="s">
        <v>716</v>
      </c>
      <c r="N180" s="54" t="s">
        <v>664</v>
      </c>
      <c r="O180" s="54"/>
      <c r="P180" s="60"/>
      <c r="Q180" t="str">
        <f t="shared" si="14"/>
        <v>P3017988</v>
      </c>
      <c r="R180" t="str">
        <f t="shared" si="12"/>
        <v>PN NORAZIAN BINTI ISMAIL</v>
      </c>
      <c r="S180" t="s">
        <v>664</v>
      </c>
    </row>
    <row r="181" spans="1:19" ht="14.4" x14ac:dyDescent="0.25">
      <c r="A181" s="55">
        <v>175</v>
      </c>
      <c r="B181" s="54">
        <v>3018074</v>
      </c>
      <c r="C181" s="54" t="s">
        <v>3</v>
      </c>
      <c r="D181" s="62" t="s">
        <v>510</v>
      </c>
      <c r="E181" s="69" t="s">
        <v>664</v>
      </c>
      <c r="F181" s="54"/>
      <c r="G181" s="60"/>
      <c r="H181" s="174">
        <f t="shared" si="10"/>
        <v>3018074</v>
      </c>
      <c r="I181" s="174" t="str">
        <f t="shared" si="11"/>
        <v xml:space="preserve">LT M MUJDRIA BINTI RUSTAN </v>
      </c>
      <c r="J181" s="175" t="s">
        <v>664</v>
      </c>
      <c r="K181" s="175"/>
      <c r="L181" s="175"/>
      <c r="M181" s="62" t="s">
        <v>717</v>
      </c>
      <c r="N181" s="54" t="s">
        <v>664</v>
      </c>
      <c r="O181" s="54"/>
      <c r="P181" s="60"/>
      <c r="Q181" t="str">
        <f t="shared" si="14"/>
        <v>P3018074</v>
      </c>
      <c r="R181" t="str">
        <f t="shared" si="12"/>
        <v>EN SAHUL ADZEEM MIA BIN REJAB</v>
      </c>
      <c r="S181" t="s">
        <v>664</v>
      </c>
    </row>
    <row r="182" spans="1:19" ht="59.25" customHeight="1" thickBot="1" x14ac:dyDescent="0.3">
      <c r="A182" s="54">
        <v>176</v>
      </c>
      <c r="B182" s="54">
        <v>3018094</v>
      </c>
      <c r="C182" s="54" t="s">
        <v>3</v>
      </c>
      <c r="D182" s="78" t="s">
        <v>511</v>
      </c>
      <c r="E182" s="69" t="s">
        <v>664</v>
      </c>
      <c r="F182" s="54"/>
      <c r="G182" s="60"/>
      <c r="H182" s="174">
        <f t="shared" si="10"/>
        <v>3018094</v>
      </c>
      <c r="I182" s="174" t="str">
        <f t="shared" si="11"/>
        <v xml:space="preserve">LT M SITI AISYAH ANISH BINTI ROSLI </v>
      </c>
      <c r="J182" s="175" t="s">
        <v>664</v>
      </c>
      <c r="K182" s="175"/>
      <c r="L182" s="175"/>
      <c r="M182" s="62" t="s">
        <v>718</v>
      </c>
      <c r="N182" s="54"/>
      <c r="O182" s="54" t="s">
        <v>665</v>
      </c>
      <c r="P182" s="60"/>
      <c r="Q182" t="str">
        <f t="shared" si="14"/>
        <v>P3018094</v>
      </c>
      <c r="R182" t="str">
        <f t="shared" si="12"/>
        <v>LT M MUHAMMAD SYAFIQ ADAM BIN SAIFUZZAMAN</v>
      </c>
      <c r="S182" t="s">
        <v>665</v>
      </c>
    </row>
    <row r="183" spans="1:19" ht="24.6" thickTop="1" thickBot="1" x14ac:dyDescent="0.3">
      <c r="A183" s="198" t="s">
        <v>286</v>
      </c>
      <c r="B183" s="198"/>
      <c r="C183" s="198"/>
      <c r="D183" s="198"/>
      <c r="E183" s="38" t="e">
        <f>SUM(E7:EAYAM82)</f>
        <v>#NAME?</v>
      </c>
      <c r="F183" s="38" t="e">
        <f>SUM(F7:FDAGING82)</f>
        <v>#NAME?</v>
      </c>
      <c r="G183" s="38" t="e">
        <f>SUM(G7:GIKAN82)</f>
        <v>#NAME?</v>
      </c>
      <c r="H183" s="174">
        <f t="shared" si="10"/>
        <v>0</v>
      </c>
      <c r="I183" s="174" t="str">
        <f t="shared" si="11"/>
        <v xml:space="preserve"> </v>
      </c>
      <c r="J183" s="177"/>
      <c r="K183" s="177"/>
      <c r="L183" s="177"/>
      <c r="M183" s="6"/>
      <c r="N183" s="4" t="e">
        <f>SUM(N7:IAYAM82)</f>
        <v>#NAME?</v>
      </c>
      <c r="O183" s="4" t="e">
        <f>SUM(O7:JDAGING82)</f>
        <v>#NAME?</v>
      </c>
      <c r="P183" s="39" t="e">
        <f>SUM(P7:KIKAN82)</f>
        <v>#NAME?</v>
      </c>
      <c r="Q183" t="str">
        <f t="shared" si="14"/>
        <v>P</v>
      </c>
      <c r="R183" t="str">
        <f t="shared" si="12"/>
        <v/>
      </c>
    </row>
    <row r="184" spans="1:19" ht="24.6" thickTop="1" thickBot="1" x14ac:dyDescent="0.3">
      <c r="A184" s="198" t="s">
        <v>426</v>
      </c>
      <c r="B184" s="198"/>
      <c r="C184" s="198"/>
      <c r="D184" s="198"/>
      <c r="E184" s="199" t="e" cm="1">
        <f t="array" ref="E184">+EAYAM83+FAYAM83+GAYAM83</f>
        <v>#NAME?</v>
      </c>
      <c r="F184" s="200"/>
      <c r="G184" s="201"/>
      <c r="H184" s="174">
        <f t="shared" si="10"/>
        <v>0</v>
      </c>
      <c r="I184" s="174" t="str">
        <f t="shared" si="11"/>
        <v xml:space="preserve"> </v>
      </c>
      <c r="J184" s="178"/>
      <c r="K184" s="178"/>
      <c r="L184" s="178"/>
      <c r="M184" s="6"/>
      <c r="N184" s="202" t="e" cm="1">
        <f t="array" ref="N184">+IAYAM83+JAYAM83+KAYAM83</f>
        <v>#NAME?</v>
      </c>
      <c r="O184" s="203"/>
      <c r="P184" s="203"/>
      <c r="Q184" t="str">
        <f t="shared" si="14"/>
        <v>P</v>
      </c>
      <c r="R184" t="str">
        <f t="shared" si="12"/>
        <v/>
      </c>
    </row>
    <row r="185" spans="1:19" ht="13.8" thickTop="1" x14ac:dyDescent="0.25"/>
  </sheetData>
  <mergeCells count="14">
    <mergeCell ref="M3:M5"/>
    <mergeCell ref="N3:P4"/>
    <mergeCell ref="A2:P2"/>
    <mergeCell ref="A3:A5"/>
    <mergeCell ref="B3:B5"/>
    <mergeCell ref="C3:C5"/>
    <mergeCell ref="D3:D5"/>
    <mergeCell ref="E3:G4"/>
    <mergeCell ref="A184:D184"/>
    <mergeCell ref="E184:G184"/>
    <mergeCell ref="N184:P184"/>
    <mergeCell ref="E6:G6"/>
    <mergeCell ref="N6:P6"/>
    <mergeCell ref="A183:D183"/>
  </mergeCells>
  <conditionalFormatting sqref="B1:B6 B11:B184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9672-0AF9-451A-87E3-B635E1B7E2D3}">
  <sheetPr>
    <tabColor rgb="FFFFFF00"/>
  </sheetPr>
  <dimension ref="A1:G256"/>
  <sheetViews>
    <sheetView tabSelected="1" topLeftCell="A73" workbookViewId="0">
      <selection activeCell="D28" sqref="D28"/>
    </sheetView>
  </sheetViews>
  <sheetFormatPr defaultRowHeight="13.2" x14ac:dyDescent="0.25"/>
  <cols>
    <col min="1" max="1" width="4.109375" customWidth="1"/>
    <col min="2" max="2" width="4" bestFit="1" customWidth="1"/>
    <col min="3" max="3" width="9.33203125" bestFit="1" customWidth="1"/>
    <col min="4" max="4" width="61.5546875" bestFit="1" customWidth="1"/>
    <col min="5" max="5" width="8.109375" bestFit="1" customWidth="1"/>
    <col min="6" max="6" width="21" style="180" bestFit="1" customWidth="1"/>
    <col min="7" max="7" width="9.109375" style="180"/>
    <col min="8" max="8" width="48.5546875" bestFit="1" customWidth="1"/>
    <col min="9" max="9" width="8.109375" bestFit="1" customWidth="1"/>
  </cols>
  <sheetData>
    <row r="1" spans="1:7" x14ac:dyDescent="0.25">
      <c r="C1" t="s">
        <v>1234</v>
      </c>
    </row>
    <row r="2" spans="1:7" x14ac:dyDescent="0.25">
      <c r="B2" s="179" t="s">
        <v>260</v>
      </c>
      <c r="C2" s="179" t="s">
        <v>977</v>
      </c>
      <c r="D2" s="179" t="s">
        <v>603</v>
      </c>
      <c r="E2" s="179" t="s">
        <v>274</v>
      </c>
      <c r="F2" s="179" t="s">
        <v>604</v>
      </c>
      <c r="G2" s="179" t="s">
        <v>978</v>
      </c>
    </row>
    <row r="3" spans="1:7" x14ac:dyDescent="0.25">
      <c r="A3">
        <f t="shared" ref="A3:A66" si="0">G3</f>
        <v>1</v>
      </c>
      <c r="B3" s="145">
        <v>1</v>
      </c>
      <c r="C3" s="145">
        <v>3004463</v>
      </c>
      <c r="D3" s="145" t="s">
        <v>605</v>
      </c>
      <c r="E3" s="145" t="s">
        <v>665</v>
      </c>
      <c r="F3" s="179"/>
      <c r="G3" s="179">
        <v>1</v>
      </c>
    </row>
    <row r="4" spans="1:7" x14ac:dyDescent="0.25">
      <c r="A4">
        <f t="shared" si="0"/>
        <v>2</v>
      </c>
      <c r="B4" s="145">
        <v>1</v>
      </c>
      <c r="C4" s="145" t="s">
        <v>882</v>
      </c>
      <c r="D4" s="145" t="s">
        <v>610</v>
      </c>
      <c r="E4" s="145" t="s">
        <v>664</v>
      </c>
      <c r="F4" s="179"/>
      <c r="G4" s="179">
        <v>2</v>
      </c>
    </row>
    <row r="5" spans="1:7" x14ac:dyDescent="0.25">
      <c r="A5" t="str">
        <f t="shared" si="0"/>
        <v>FL18</v>
      </c>
      <c r="B5" s="145">
        <v>2</v>
      </c>
      <c r="C5" s="145" t="s">
        <v>883</v>
      </c>
      <c r="D5" s="145" t="s">
        <v>611</v>
      </c>
      <c r="E5" s="145" t="s">
        <v>278</v>
      </c>
      <c r="F5" s="179"/>
      <c r="G5" s="179" t="s">
        <v>996</v>
      </c>
    </row>
    <row r="6" spans="1:7" x14ac:dyDescent="0.25">
      <c r="A6" t="str">
        <f t="shared" si="0"/>
        <v>FL19</v>
      </c>
      <c r="B6" s="145">
        <v>3</v>
      </c>
      <c r="C6" s="145" t="s">
        <v>883</v>
      </c>
      <c r="D6" s="145" t="s">
        <v>612</v>
      </c>
      <c r="E6" s="145" t="s">
        <v>665</v>
      </c>
      <c r="F6" s="179"/>
      <c r="G6" s="179" t="s">
        <v>995</v>
      </c>
    </row>
    <row r="7" spans="1:7" x14ac:dyDescent="0.25">
      <c r="A7" t="str">
        <f t="shared" si="0"/>
        <v>FL20</v>
      </c>
      <c r="B7" s="145">
        <v>4</v>
      </c>
      <c r="C7" s="145" t="s">
        <v>883</v>
      </c>
      <c r="D7" s="145" t="s">
        <v>613</v>
      </c>
      <c r="E7" s="145" t="s">
        <v>665</v>
      </c>
      <c r="F7" s="179"/>
      <c r="G7" s="179" t="s">
        <v>994</v>
      </c>
    </row>
    <row r="8" spans="1:7" x14ac:dyDescent="0.25">
      <c r="A8">
        <f t="shared" si="0"/>
        <v>3</v>
      </c>
      <c r="B8" s="145">
        <v>5</v>
      </c>
      <c r="C8" s="145">
        <v>3005059</v>
      </c>
      <c r="D8" s="145" t="s">
        <v>719</v>
      </c>
      <c r="E8" s="145" t="s">
        <v>665</v>
      </c>
      <c r="F8" s="179"/>
      <c r="G8" s="179">
        <v>3</v>
      </c>
    </row>
    <row r="9" spans="1:7" x14ac:dyDescent="0.25">
      <c r="A9">
        <f t="shared" si="0"/>
        <v>4</v>
      </c>
      <c r="B9" s="145">
        <v>5</v>
      </c>
      <c r="C9" s="145" t="s">
        <v>884</v>
      </c>
      <c r="D9" s="145" t="s">
        <v>614</v>
      </c>
      <c r="E9" s="145" t="s">
        <v>665</v>
      </c>
      <c r="F9" s="179"/>
      <c r="G9" s="179">
        <v>4</v>
      </c>
    </row>
    <row r="10" spans="1:7" x14ac:dyDescent="0.25">
      <c r="A10">
        <f t="shared" si="0"/>
        <v>5</v>
      </c>
      <c r="B10" s="145">
        <v>6</v>
      </c>
      <c r="C10" s="145">
        <v>3005715</v>
      </c>
      <c r="D10" s="145" t="s">
        <v>720</v>
      </c>
      <c r="E10" s="145" t="s">
        <v>665</v>
      </c>
      <c r="F10" s="179"/>
      <c r="G10" s="179">
        <v>5</v>
      </c>
    </row>
    <row r="11" spans="1:7" x14ac:dyDescent="0.25">
      <c r="A11">
        <f t="shared" si="0"/>
        <v>6</v>
      </c>
      <c r="B11" s="145">
        <v>6</v>
      </c>
      <c r="C11" s="145" t="s">
        <v>885</v>
      </c>
      <c r="D11" s="145" t="s">
        <v>666</v>
      </c>
      <c r="E11" s="145" t="s">
        <v>278</v>
      </c>
      <c r="F11" s="179"/>
      <c r="G11" s="179">
        <v>6</v>
      </c>
    </row>
    <row r="12" spans="1:7" x14ac:dyDescent="0.25">
      <c r="A12">
        <f t="shared" si="0"/>
        <v>7</v>
      </c>
      <c r="B12" s="145">
        <v>7</v>
      </c>
      <c r="C12" s="145">
        <v>3007255</v>
      </c>
      <c r="D12" s="145" t="s">
        <v>606</v>
      </c>
      <c r="E12" s="145" t="s">
        <v>665</v>
      </c>
      <c r="F12" s="179"/>
      <c r="G12" s="179">
        <v>7</v>
      </c>
    </row>
    <row r="13" spans="1:7" x14ac:dyDescent="0.25">
      <c r="A13">
        <f t="shared" si="0"/>
        <v>8</v>
      </c>
      <c r="B13" s="145">
        <v>7</v>
      </c>
      <c r="C13" s="145" t="s">
        <v>886</v>
      </c>
      <c r="D13" s="145" t="s">
        <v>667</v>
      </c>
      <c r="E13" s="145" t="s">
        <v>664</v>
      </c>
      <c r="F13" s="179"/>
      <c r="G13" s="179">
        <v>8</v>
      </c>
    </row>
    <row r="14" spans="1:7" x14ac:dyDescent="0.25">
      <c r="A14">
        <f t="shared" si="0"/>
        <v>9</v>
      </c>
      <c r="B14" s="145">
        <v>8</v>
      </c>
      <c r="C14" s="145">
        <v>3006156</v>
      </c>
      <c r="D14" s="145" t="s">
        <v>721</v>
      </c>
      <c r="E14" s="145" t="s">
        <v>665</v>
      </c>
      <c r="F14" s="179"/>
      <c r="G14" s="179">
        <v>9</v>
      </c>
    </row>
    <row r="15" spans="1:7" x14ac:dyDescent="0.25">
      <c r="A15">
        <f t="shared" si="0"/>
        <v>10</v>
      </c>
      <c r="B15" s="145">
        <v>8</v>
      </c>
      <c r="C15" s="145" t="s">
        <v>887</v>
      </c>
      <c r="D15" s="145" t="s">
        <v>668</v>
      </c>
      <c r="E15" s="145" t="s">
        <v>664</v>
      </c>
      <c r="F15" s="179"/>
      <c r="G15" s="179">
        <v>10</v>
      </c>
    </row>
    <row r="16" spans="1:7" x14ac:dyDescent="0.25">
      <c r="A16">
        <f t="shared" si="0"/>
        <v>11</v>
      </c>
      <c r="B16" s="145">
        <v>9</v>
      </c>
      <c r="C16" s="145">
        <v>3006696</v>
      </c>
      <c r="D16" s="145" t="s">
        <v>722</v>
      </c>
      <c r="E16" s="145" t="s">
        <v>665</v>
      </c>
      <c r="F16" s="179"/>
      <c r="G16" s="179">
        <v>11</v>
      </c>
    </row>
    <row r="17" spans="1:7" x14ac:dyDescent="0.25">
      <c r="A17">
        <f t="shared" si="0"/>
        <v>12</v>
      </c>
      <c r="B17" s="145">
        <v>9</v>
      </c>
      <c r="C17" s="145" t="s">
        <v>888</v>
      </c>
      <c r="D17" s="145" t="s">
        <v>669</v>
      </c>
      <c r="E17" s="145" t="s">
        <v>278</v>
      </c>
      <c r="F17" s="179"/>
      <c r="G17" s="179">
        <v>12</v>
      </c>
    </row>
    <row r="18" spans="1:7" x14ac:dyDescent="0.25">
      <c r="A18" t="str">
        <f t="shared" si="0"/>
        <v>FL17</v>
      </c>
      <c r="B18" s="145">
        <v>10</v>
      </c>
      <c r="C18" s="145">
        <v>3005397</v>
      </c>
      <c r="D18" s="145" t="s">
        <v>723</v>
      </c>
      <c r="E18" s="145" t="s">
        <v>278</v>
      </c>
      <c r="F18" s="179"/>
      <c r="G18" s="179" t="s">
        <v>997</v>
      </c>
    </row>
    <row r="19" spans="1:7" x14ac:dyDescent="0.25">
      <c r="A19" t="str">
        <f t="shared" si="0"/>
        <v>CR1</v>
      </c>
      <c r="B19" s="145">
        <v>11</v>
      </c>
      <c r="C19" s="145">
        <v>3006393</v>
      </c>
      <c r="D19" s="145" t="s">
        <v>724</v>
      </c>
      <c r="E19" s="145" t="s">
        <v>665</v>
      </c>
      <c r="F19" s="179"/>
      <c r="G19" s="179" t="s">
        <v>1153</v>
      </c>
    </row>
    <row r="20" spans="1:7" x14ac:dyDescent="0.25">
      <c r="A20" t="str">
        <f t="shared" si="0"/>
        <v>CR2</v>
      </c>
      <c r="B20" s="145">
        <v>11</v>
      </c>
      <c r="C20" s="145" t="s">
        <v>889</v>
      </c>
      <c r="D20" s="145" t="s">
        <v>617</v>
      </c>
      <c r="E20" s="145" t="s">
        <v>278</v>
      </c>
      <c r="F20" s="179"/>
      <c r="G20" s="179" t="s">
        <v>1152</v>
      </c>
    </row>
    <row r="21" spans="1:7" x14ac:dyDescent="0.25">
      <c r="A21" t="str">
        <f t="shared" si="0"/>
        <v>CR3</v>
      </c>
      <c r="B21" s="145">
        <v>12</v>
      </c>
      <c r="C21" s="145">
        <v>3009651</v>
      </c>
      <c r="D21" s="145" t="s">
        <v>725</v>
      </c>
      <c r="E21" s="145" t="s">
        <v>278</v>
      </c>
      <c r="F21" s="179"/>
      <c r="G21" s="179" t="s">
        <v>1151</v>
      </c>
    </row>
    <row r="22" spans="1:7" x14ac:dyDescent="0.25">
      <c r="A22" t="str">
        <f t="shared" si="0"/>
        <v>CR4</v>
      </c>
      <c r="B22" s="145">
        <v>13</v>
      </c>
      <c r="C22" s="145">
        <v>3008216</v>
      </c>
      <c r="D22" s="145" t="s">
        <v>726</v>
      </c>
      <c r="E22" s="145" t="s">
        <v>278</v>
      </c>
      <c r="F22" s="179"/>
      <c r="G22" s="179" t="s">
        <v>1150</v>
      </c>
    </row>
    <row r="23" spans="1:7" x14ac:dyDescent="0.25">
      <c r="A23" t="str">
        <f t="shared" si="0"/>
        <v>CR5</v>
      </c>
      <c r="B23" s="145">
        <v>14</v>
      </c>
      <c r="C23" s="145">
        <v>3007529</v>
      </c>
      <c r="D23" s="145" t="s">
        <v>727</v>
      </c>
      <c r="E23" s="145" t="s">
        <v>665</v>
      </c>
      <c r="F23" s="179"/>
      <c r="G23" s="179" t="s">
        <v>1149</v>
      </c>
    </row>
    <row r="24" spans="1:7" x14ac:dyDescent="0.25">
      <c r="A24" t="str">
        <f t="shared" si="0"/>
        <v>CR6</v>
      </c>
      <c r="B24" s="145">
        <v>14</v>
      </c>
      <c r="C24" s="145" t="s">
        <v>890</v>
      </c>
      <c r="D24" s="145" t="s">
        <v>670</v>
      </c>
      <c r="E24" s="145" t="s">
        <v>665</v>
      </c>
      <c r="F24" s="179"/>
      <c r="G24" s="179" t="s">
        <v>1148</v>
      </c>
    </row>
    <row r="25" spans="1:7" x14ac:dyDescent="0.25">
      <c r="A25" t="str">
        <f t="shared" si="0"/>
        <v>CR7</v>
      </c>
      <c r="B25" s="145">
        <v>15</v>
      </c>
      <c r="C25" s="145">
        <v>3008001</v>
      </c>
      <c r="D25" s="145" t="s">
        <v>728</v>
      </c>
      <c r="E25" s="145" t="s">
        <v>278</v>
      </c>
      <c r="F25" s="179"/>
      <c r="G25" s="179" t="s">
        <v>1147</v>
      </c>
    </row>
    <row r="26" spans="1:7" x14ac:dyDescent="0.25">
      <c r="A26">
        <f t="shared" si="0"/>
        <v>13</v>
      </c>
      <c r="B26" s="145">
        <v>16</v>
      </c>
      <c r="C26" s="145">
        <v>3009693</v>
      </c>
      <c r="D26" s="145" t="s">
        <v>729</v>
      </c>
      <c r="E26" s="145" t="s">
        <v>665</v>
      </c>
      <c r="F26" s="179" t="s">
        <v>607</v>
      </c>
      <c r="G26" s="179">
        <v>13</v>
      </c>
    </row>
    <row r="27" spans="1:7" x14ac:dyDescent="0.25">
      <c r="A27">
        <f t="shared" si="0"/>
        <v>14</v>
      </c>
      <c r="B27" s="145">
        <v>16</v>
      </c>
      <c r="C27" s="145" t="s">
        <v>891</v>
      </c>
      <c r="D27" s="145" t="s">
        <v>671</v>
      </c>
      <c r="E27" s="145" t="s">
        <v>278</v>
      </c>
      <c r="F27" s="179"/>
      <c r="G27" s="179">
        <v>14</v>
      </c>
    </row>
    <row r="28" spans="1:7" x14ac:dyDescent="0.25">
      <c r="A28" t="str">
        <f t="shared" si="0"/>
        <v>CR8</v>
      </c>
      <c r="B28" s="145">
        <v>17</v>
      </c>
      <c r="C28" s="145">
        <v>3008035</v>
      </c>
      <c r="D28" s="145" t="s">
        <v>730</v>
      </c>
      <c r="E28" s="145" t="s">
        <v>665</v>
      </c>
      <c r="F28" s="179"/>
      <c r="G28" s="179" t="s">
        <v>1146</v>
      </c>
    </row>
    <row r="29" spans="1:7" x14ac:dyDescent="0.25">
      <c r="A29" t="str">
        <f t="shared" si="0"/>
        <v>CR9</v>
      </c>
      <c r="B29" s="145">
        <v>17</v>
      </c>
      <c r="C29" s="145" t="s">
        <v>892</v>
      </c>
      <c r="D29" s="145" t="s">
        <v>893</v>
      </c>
      <c r="E29" s="145" t="s">
        <v>278</v>
      </c>
      <c r="F29" s="179"/>
      <c r="G29" s="179" t="s">
        <v>1145</v>
      </c>
    </row>
    <row r="30" spans="1:7" x14ac:dyDescent="0.25">
      <c r="A30" t="str">
        <f t="shared" si="0"/>
        <v>CR10</v>
      </c>
      <c r="B30" s="145">
        <v>18</v>
      </c>
      <c r="C30" s="145">
        <v>3010188</v>
      </c>
      <c r="D30" s="145" t="s">
        <v>731</v>
      </c>
      <c r="E30" s="145" t="s">
        <v>664</v>
      </c>
      <c r="F30" s="179"/>
      <c r="G30" s="179" t="s">
        <v>1144</v>
      </c>
    </row>
    <row r="31" spans="1:7" x14ac:dyDescent="0.25">
      <c r="A31" t="str">
        <f t="shared" si="0"/>
        <v>CR11</v>
      </c>
      <c r="B31" s="145">
        <v>18</v>
      </c>
      <c r="C31" s="145" t="s">
        <v>894</v>
      </c>
      <c r="D31" s="145" t="s">
        <v>673</v>
      </c>
      <c r="E31" s="145" t="s">
        <v>664</v>
      </c>
      <c r="F31" s="179"/>
      <c r="G31" s="179" t="s">
        <v>1143</v>
      </c>
    </row>
    <row r="32" spans="1:7" x14ac:dyDescent="0.25">
      <c r="A32" t="str">
        <f t="shared" si="0"/>
        <v>CR12</v>
      </c>
      <c r="B32" s="145">
        <v>19</v>
      </c>
      <c r="C32" s="145">
        <v>3009725</v>
      </c>
      <c r="D32" s="145" t="s">
        <v>732</v>
      </c>
      <c r="E32" s="145" t="s">
        <v>278</v>
      </c>
      <c r="F32" s="179"/>
      <c r="G32" s="179" t="s">
        <v>1142</v>
      </c>
    </row>
    <row r="33" spans="1:7" x14ac:dyDescent="0.25">
      <c r="A33" t="str">
        <f t="shared" si="0"/>
        <v>CR13</v>
      </c>
      <c r="B33" s="145">
        <v>20</v>
      </c>
      <c r="C33" s="145">
        <v>3010344</v>
      </c>
      <c r="D33" s="145" t="s">
        <v>733</v>
      </c>
      <c r="E33" s="145" t="s">
        <v>664</v>
      </c>
      <c r="F33" s="179"/>
      <c r="G33" s="179" t="s">
        <v>1141</v>
      </c>
    </row>
    <row r="34" spans="1:7" x14ac:dyDescent="0.25">
      <c r="A34" t="str">
        <f t="shared" si="0"/>
        <v>CR14</v>
      </c>
      <c r="B34" s="145">
        <v>20</v>
      </c>
      <c r="C34" s="145" t="s">
        <v>895</v>
      </c>
      <c r="D34" s="145" t="s">
        <v>896</v>
      </c>
      <c r="E34" s="145" t="s">
        <v>665</v>
      </c>
      <c r="F34" s="179"/>
      <c r="G34" s="179" t="s">
        <v>1140</v>
      </c>
    </row>
    <row r="35" spans="1:7" x14ac:dyDescent="0.25">
      <c r="A35" t="str">
        <f t="shared" si="0"/>
        <v>CR15</v>
      </c>
      <c r="B35" s="145">
        <v>21</v>
      </c>
      <c r="C35" s="145">
        <v>3010205</v>
      </c>
      <c r="D35" s="145" t="s">
        <v>734</v>
      </c>
      <c r="E35" s="145" t="s">
        <v>278</v>
      </c>
      <c r="F35" s="179"/>
      <c r="G35" s="179" t="s">
        <v>1139</v>
      </c>
    </row>
    <row r="36" spans="1:7" x14ac:dyDescent="0.25">
      <c r="A36" t="str">
        <f t="shared" si="0"/>
        <v>CR16</v>
      </c>
      <c r="B36" s="145">
        <v>21</v>
      </c>
      <c r="C36" s="145" t="s">
        <v>897</v>
      </c>
      <c r="D36" s="145" t="s">
        <v>898</v>
      </c>
      <c r="E36" s="145" t="s">
        <v>665</v>
      </c>
      <c r="F36" s="179"/>
      <c r="G36" s="179" t="s">
        <v>1138</v>
      </c>
    </row>
    <row r="37" spans="1:7" x14ac:dyDescent="0.25">
      <c r="A37" t="str">
        <f t="shared" si="0"/>
        <v>CR17</v>
      </c>
      <c r="B37" s="145">
        <v>22</v>
      </c>
      <c r="C37" s="145">
        <v>3007228</v>
      </c>
      <c r="D37" s="145" t="s">
        <v>735</v>
      </c>
      <c r="E37" s="145" t="s">
        <v>665</v>
      </c>
      <c r="F37" s="179"/>
      <c r="G37" s="179" t="s">
        <v>1137</v>
      </c>
    </row>
    <row r="38" spans="1:7" x14ac:dyDescent="0.25">
      <c r="A38" t="str">
        <f t="shared" si="0"/>
        <v>CR18</v>
      </c>
      <c r="B38" s="145">
        <v>22</v>
      </c>
      <c r="C38" s="145" t="s">
        <v>899</v>
      </c>
      <c r="D38" s="145" t="s">
        <v>675</v>
      </c>
      <c r="E38" s="145" t="s">
        <v>664</v>
      </c>
      <c r="F38" s="179"/>
      <c r="G38" s="179" t="s">
        <v>1136</v>
      </c>
    </row>
    <row r="39" spans="1:7" x14ac:dyDescent="0.25">
      <c r="A39" t="str">
        <f t="shared" si="0"/>
        <v>CR19</v>
      </c>
      <c r="B39" s="145">
        <v>23</v>
      </c>
      <c r="C39" s="145">
        <v>3009234</v>
      </c>
      <c r="D39" s="145" t="s">
        <v>736</v>
      </c>
      <c r="E39" s="145" t="s">
        <v>278</v>
      </c>
      <c r="F39" s="179"/>
      <c r="G39" s="179" t="s">
        <v>1135</v>
      </c>
    </row>
    <row r="40" spans="1:7" x14ac:dyDescent="0.25">
      <c r="A40" t="str">
        <f t="shared" si="0"/>
        <v>CR20</v>
      </c>
      <c r="B40" s="145">
        <v>24</v>
      </c>
      <c r="C40" s="145">
        <v>3008083</v>
      </c>
      <c r="D40" s="145" t="s">
        <v>737</v>
      </c>
      <c r="E40" s="145" t="s">
        <v>278</v>
      </c>
      <c r="F40" s="179"/>
      <c r="G40" s="179" t="s">
        <v>1134</v>
      </c>
    </row>
    <row r="41" spans="1:7" x14ac:dyDescent="0.25">
      <c r="A41" t="str">
        <f t="shared" si="0"/>
        <v>CL1</v>
      </c>
      <c r="B41" s="145">
        <v>24</v>
      </c>
      <c r="C41" s="145" t="s">
        <v>900</v>
      </c>
      <c r="D41" s="145" t="s">
        <v>676</v>
      </c>
      <c r="E41" s="145" t="s">
        <v>664</v>
      </c>
      <c r="F41" s="179"/>
      <c r="G41" s="179" t="s">
        <v>1133</v>
      </c>
    </row>
    <row r="42" spans="1:7" x14ac:dyDescent="0.25">
      <c r="A42" t="str">
        <f t="shared" si="0"/>
        <v>CL2</v>
      </c>
      <c r="B42" s="145">
        <v>25</v>
      </c>
      <c r="C42" s="145">
        <v>3009710</v>
      </c>
      <c r="D42" s="145" t="s">
        <v>738</v>
      </c>
      <c r="E42" s="145" t="s">
        <v>278</v>
      </c>
      <c r="F42" s="179"/>
      <c r="G42" s="179" t="s">
        <v>1132</v>
      </c>
    </row>
    <row r="43" spans="1:7" x14ac:dyDescent="0.25">
      <c r="A43" t="str">
        <f t="shared" si="0"/>
        <v>CL3</v>
      </c>
      <c r="B43" s="145">
        <v>25</v>
      </c>
      <c r="C43" s="145" t="s">
        <v>901</v>
      </c>
      <c r="D43" s="145" t="s">
        <v>569</v>
      </c>
      <c r="E43" s="145" t="s">
        <v>665</v>
      </c>
      <c r="F43" s="179"/>
      <c r="G43" s="179" t="s">
        <v>1131</v>
      </c>
    </row>
    <row r="44" spans="1:7" x14ac:dyDescent="0.25">
      <c r="A44" t="str">
        <f t="shared" si="0"/>
        <v>CL4</v>
      </c>
      <c r="B44" s="145">
        <v>26</v>
      </c>
      <c r="C44" s="145">
        <v>3007997</v>
      </c>
      <c r="D44" s="145" t="s">
        <v>739</v>
      </c>
      <c r="E44" s="145" t="s">
        <v>665</v>
      </c>
      <c r="F44" s="179"/>
      <c r="G44" s="179" t="s">
        <v>1130</v>
      </c>
    </row>
    <row r="45" spans="1:7" x14ac:dyDescent="0.25">
      <c r="A45" t="str">
        <f t="shared" si="0"/>
        <v>CL5</v>
      </c>
      <c r="B45" s="145">
        <v>26</v>
      </c>
      <c r="C45" s="145" t="s">
        <v>902</v>
      </c>
      <c r="D45" s="145" t="s">
        <v>677</v>
      </c>
      <c r="E45" s="145" t="s">
        <v>278</v>
      </c>
      <c r="F45" s="179"/>
      <c r="G45" s="179" t="s">
        <v>1129</v>
      </c>
    </row>
    <row r="46" spans="1:7" x14ac:dyDescent="0.25">
      <c r="A46" t="str">
        <f t="shared" si="0"/>
        <v>CL6</v>
      </c>
      <c r="B46" s="145">
        <v>27</v>
      </c>
      <c r="C46" s="145">
        <v>3006374</v>
      </c>
      <c r="D46" s="145" t="s">
        <v>740</v>
      </c>
      <c r="E46" s="145" t="s">
        <v>665</v>
      </c>
      <c r="F46" s="179"/>
      <c r="G46" s="179" t="s">
        <v>1128</v>
      </c>
    </row>
    <row r="47" spans="1:7" x14ac:dyDescent="0.25">
      <c r="A47" t="str">
        <f t="shared" si="0"/>
        <v>CL7</v>
      </c>
      <c r="B47" s="145">
        <v>27</v>
      </c>
      <c r="C47" s="145" t="s">
        <v>903</v>
      </c>
      <c r="D47" s="145" t="s">
        <v>904</v>
      </c>
      <c r="E47" s="145" t="s">
        <v>664</v>
      </c>
      <c r="F47" s="179"/>
      <c r="G47" s="179" t="s">
        <v>1127</v>
      </c>
    </row>
    <row r="48" spans="1:7" x14ac:dyDescent="0.25">
      <c r="A48" t="str">
        <f t="shared" si="0"/>
        <v>CL8</v>
      </c>
      <c r="B48" s="145">
        <v>28</v>
      </c>
      <c r="C48" s="145">
        <v>3006377</v>
      </c>
      <c r="D48" s="145" t="s">
        <v>741</v>
      </c>
      <c r="E48" s="145" t="s">
        <v>278</v>
      </c>
      <c r="F48" s="179"/>
      <c r="G48" s="179" t="s">
        <v>1126</v>
      </c>
    </row>
    <row r="49" spans="1:7" x14ac:dyDescent="0.25">
      <c r="A49" t="str">
        <f t="shared" si="0"/>
        <v>CL9</v>
      </c>
      <c r="B49" s="145">
        <v>29</v>
      </c>
      <c r="C49" s="145">
        <v>7508392</v>
      </c>
      <c r="D49" s="145" t="s">
        <v>742</v>
      </c>
      <c r="E49" s="145" t="s">
        <v>278</v>
      </c>
      <c r="F49" s="179"/>
      <c r="G49" s="179" t="s">
        <v>1125</v>
      </c>
    </row>
    <row r="50" spans="1:7" x14ac:dyDescent="0.25">
      <c r="A50" t="str">
        <f t="shared" si="0"/>
        <v>CL10</v>
      </c>
      <c r="B50" s="145">
        <v>30</v>
      </c>
      <c r="C50" s="145">
        <v>3008124</v>
      </c>
      <c r="D50" s="145" t="s">
        <v>743</v>
      </c>
      <c r="E50" s="145" t="s">
        <v>665</v>
      </c>
      <c r="F50" s="179"/>
      <c r="G50" s="179" t="s">
        <v>1124</v>
      </c>
    </row>
    <row r="51" spans="1:7" x14ac:dyDescent="0.25">
      <c r="A51" t="str">
        <f t="shared" si="0"/>
        <v>CL11</v>
      </c>
      <c r="B51" s="145">
        <v>31</v>
      </c>
      <c r="C51" s="145">
        <v>3009684</v>
      </c>
      <c r="D51" s="145" t="s">
        <v>744</v>
      </c>
      <c r="E51" s="145" t="s">
        <v>664</v>
      </c>
      <c r="F51" s="179"/>
      <c r="G51" s="179" t="s">
        <v>1123</v>
      </c>
    </row>
    <row r="52" spans="1:7" x14ac:dyDescent="0.25">
      <c r="A52" t="str">
        <f t="shared" si="0"/>
        <v>CL12</v>
      </c>
      <c r="B52" s="145">
        <v>32</v>
      </c>
      <c r="C52" s="145">
        <v>3010207</v>
      </c>
      <c r="D52" s="145" t="s">
        <v>745</v>
      </c>
      <c r="E52" s="145" t="s">
        <v>278</v>
      </c>
      <c r="F52" s="179"/>
      <c r="G52" s="179" t="s">
        <v>1122</v>
      </c>
    </row>
    <row r="53" spans="1:7" x14ac:dyDescent="0.25">
      <c r="A53" t="str">
        <f t="shared" si="0"/>
        <v>CL13</v>
      </c>
      <c r="B53" s="145">
        <v>33</v>
      </c>
      <c r="C53" s="145">
        <v>7512168</v>
      </c>
      <c r="D53" s="145" t="s">
        <v>746</v>
      </c>
      <c r="E53" s="145" t="s">
        <v>665</v>
      </c>
      <c r="F53" s="179"/>
      <c r="G53" s="179" t="s">
        <v>1121</v>
      </c>
    </row>
    <row r="54" spans="1:7" x14ac:dyDescent="0.25">
      <c r="A54" t="str">
        <f t="shared" si="0"/>
        <v>CL14</v>
      </c>
      <c r="B54" s="145">
        <v>34</v>
      </c>
      <c r="C54" s="145">
        <v>7516997</v>
      </c>
      <c r="D54" s="145" t="s">
        <v>747</v>
      </c>
      <c r="E54" s="145" t="s">
        <v>278</v>
      </c>
      <c r="F54" s="179"/>
      <c r="G54" s="179" t="s">
        <v>1120</v>
      </c>
    </row>
    <row r="55" spans="1:7" x14ac:dyDescent="0.25">
      <c r="A55" t="str">
        <f t="shared" si="0"/>
        <v>CL15</v>
      </c>
      <c r="B55" s="145">
        <v>35</v>
      </c>
      <c r="C55" s="145">
        <v>3009427</v>
      </c>
      <c r="D55" s="145" t="s">
        <v>748</v>
      </c>
      <c r="E55" s="145" t="s">
        <v>665</v>
      </c>
      <c r="F55" s="179"/>
      <c r="G55" s="179" t="s">
        <v>1119</v>
      </c>
    </row>
    <row r="56" spans="1:7" x14ac:dyDescent="0.25">
      <c r="A56" t="str">
        <f t="shared" si="0"/>
        <v>CL16</v>
      </c>
      <c r="B56" s="145">
        <v>36</v>
      </c>
      <c r="C56" s="145">
        <v>3009495</v>
      </c>
      <c r="D56" s="145" t="s">
        <v>749</v>
      </c>
      <c r="E56" s="145" t="s">
        <v>665</v>
      </c>
      <c r="F56" s="179"/>
      <c r="G56" s="179" t="s">
        <v>1118</v>
      </c>
    </row>
    <row r="57" spans="1:7" x14ac:dyDescent="0.25">
      <c r="A57" t="str">
        <f t="shared" si="0"/>
        <v>CL17</v>
      </c>
      <c r="B57" s="145">
        <v>36</v>
      </c>
      <c r="C57" s="145" t="s">
        <v>905</v>
      </c>
      <c r="D57" s="145" t="s">
        <v>679</v>
      </c>
      <c r="E57" s="145" t="s">
        <v>664</v>
      </c>
      <c r="F57" s="179"/>
      <c r="G57" s="179" t="s">
        <v>1117</v>
      </c>
    </row>
    <row r="58" spans="1:7" x14ac:dyDescent="0.25">
      <c r="A58" t="str">
        <f t="shared" si="0"/>
        <v>CL18</v>
      </c>
      <c r="B58" s="145">
        <v>37</v>
      </c>
      <c r="C58" s="145">
        <v>7514423</v>
      </c>
      <c r="D58" s="145" t="s">
        <v>750</v>
      </c>
      <c r="E58" s="145" t="s">
        <v>278</v>
      </c>
      <c r="F58" s="179"/>
      <c r="G58" s="179" t="s">
        <v>1116</v>
      </c>
    </row>
    <row r="59" spans="1:7" x14ac:dyDescent="0.25">
      <c r="A59" t="str">
        <f t="shared" si="0"/>
        <v>CL19</v>
      </c>
      <c r="B59" s="145">
        <v>38</v>
      </c>
      <c r="C59" s="145">
        <v>3008445</v>
      </c>
      <c r="D59" s="145" t="s">
        <v>751</v>
      </c>
      <c r="E59" s="145" t="s">
        <v>665</v>
      </c>
      <c r="F59" s="179"/>
      <c r="G59" s="179" t="s">
        <v>1115</v>
      </c>
    </row>
    <row r="60" spans="1:7" x14ac:dyDescent="0.25">
      <c r="A60" t="str">
        <f t="shared" si="0"/>
        <v>CL20</v>
      </c>
      <c r="B60" s="145">
        <v>39</v>
      </c>
      <c r="C60" s="145">
        <v>3011466</v>
      </c>
      <c r="D60" s="145" t="s">
        <v>752</v>
      </c>
      <c r="E60" s="145" t="s">
        <v>664</v>
      </c>
      <c r="F60" s="179"/>
      <c r="G60" s="179" t="s">
        <v>1114</v>
      </c>
    </row>
    <row r="61" spans="1:7" x14ac:dyDescent="0.25">
      <c r="A61" t="str">
        <f t="shared" si="0"/>
        <v>DR1</v>
      </c>
      <c r="B61" s="145">
        <v>40</v>
      </c>
      <c r="C61" s="145">
        <v>3008508</v>
      </c>
      <c r="D61" s="145" t="s">
        <v>753</v>
      </c>
      <c r="E61" s="145" t="s">
        <v>664</v>
      </c>
      <c r="F61" s="179"/>
      <c r="G61" s="179" t="s">
        <v>1113</v>
      </c>
    </row>
    <row r="62" spans="1:7" x14ac:dyDescent="0.25">
      <c r="A62" t="str">
        <f t="shared" si="0"/>
        <v>DR2</v>
      </c>
      <c r="B62" s="145">
        <v>40</v>
      </c>
      <c r="C62" s="145" t="s">
        <v>906</v>
      </c>
      <c r="D62" s="145" t="s">
        <v>563</v>
      </c>
      <c r="E62" s="145" t="s">
        <v>278</v>
      </c>
      <c r="F62" s="179"/>
      <c r="G62" s="179" t="s">
        <v>1112</v>
      </c>
    </row>
    <row r="63" spans="1:7" x14ac:dyDescent="0.25">
      <c r="A63" t="str">
        <f t="shared" si="0"/>
        <v>DR3</v>
      </c>
      <c r="B63" s="145">
        <v>41</v>
      </c>
      <c r="C63" s="145">
        <v>3008905</v>
      </c>
      <c r="D63" s="145" t="s">
        <v>754</v>
      </c>
      <c r="E63" s="145" t="s">
        <v>278</v>
      </c>
      <c r="F63" s="179"/>
      <c r="G63" s="179" t="s">
        <v>1111</v>
      </c>
    </row>
    <row r="64" spans="1:7" x14ac:dyDescent="0.25">
      <c r="A64" t="str">
        <f t="shared" si="0"/>
        <v>DR4</v>
      </c>
      <c r="B64" s="145">
        <v>42</v>
      </c>
      <c r="C64" s="145">
        <v>3008922</v>
      </c>
      <c r="D64" s="145" t="s">
        <v>755</v>
      </c>
      <c r="E64" s="145" t="s">
        <v>665</v>
      </c>
      <c r="F64" s="179"/>
      <c r="G64" s="179" t="s">
        <v>1110</v>
      </c>
    </row>
    <row r="65" spans="1:7" x14ac:dyDescent="0.25">
      <c r="A65" t="str">
        <f t="shared" si="0"/>
        <v>DR5</v>
      </c>
      <c r="B65" s="145">
        <v>43</v>
      </c>
      <c r="C65" s="145">
        <v>3011591</v>
      </c>
      <c r="D65" s="145" t="s">
        <v>756</v>
      </c>
      <c r="E65" s="145" t="s">
        <v>665</v>
      </c>
      <c r="F65" s="179"/>
      <c r="G65" s="179" t="s">
        <v>1109</v>
      </c>
    </row>
    <row r="66" spans="1:7" x14ac:dyDescent="0.25">
      <c r="A66" t="str">
        <f t="shared" si="0"/>
        <v>DR6</v>
      </c>
      <c r="B66" s="145">
        <v>44</v>
      </c>
      <c r="C66" s="145">
        <v>3009729</v>
      </c>
      <c r="D66" s="145" t="s">
        <v>757</v>
      </c>
      <c r="E66" s="145" t="s">
        <v>278</v>
      </c>
      <c r="F66" s="179"/>
      <c r="G66" s="179" t="s">
        <v>1108</v>
      </c>
    </row>
    <row r="67" spans="1:7" x14ac:dyDescent="0.25">
      <c r="A67" t="str">
        <f t="shared" ref="A67:A130" si="1">G67</f>
        <v>DR7</v>
      </c>
      <c r="B67" s="145">
        <v>44</v>
      </c>
      <c r="C67" s="145" t="s">
        <v>907</v>
      </c>
      <c r="D67" s="145" t="s">
        <v>561</v>
      </c>
      <c r="E67" s="145" t="s">
        <v>665</v>
      </c>
      <c r="F67" s="179"/>
      <c r="G67" s="179" t="s">
        <v>1107</v>
      </c>
    </row>
    <row r="68" spans="1:7" x14ac:dyDescent="0.25">
      <c r="A68" t="str">
        <f t="shared" si="1"/>
        <v>DR8</v>
      </c>
      <c r="B68" s="145">
        <v>45</v>
      </c>
      <c r="C68" s="145">
        <v>3012022</v>
      </c>
      <c r="D68" s="145" t="s">
        <v>758</v>
      </c>
      <c r="E68" s="145" t="s">
        <v>664</v>
      </c>
      <c r="F68" s="179"/>
      <c r="G68" s="179" t="s">
        <v>1106</v>
      </c>
    </row>
    <row r="69" spans="1:7" x14ac:dyDescent="0.25">
      <c r="A69" t="str">
        <f t="shared" si="1"/>
        <v>DR9</v>
      </c>
      <c r="B69" s="145">
        <v>46</v>
      </c>
      <c r="C69" s="145">
        <v>3009278</v>
      </c>
      <c r="D69" s="145" t="s">
        <v>759</v>
      </c>
      <c r="E69" s="145" t="s">
        <v>665</v>
      </c>
      <c r="F69" s="179"/>
      <c r="G69" s="179" t="s">
        <v>1105</v>
      </c>
    </row>
    <row r="70" spans="1:7" x14ac:dyDescent="0.25">
      <c r="A70" t="str">
        <f t="shared" si="1"/>
        <v>DR10</v>
      </c>
      <c r="B70" s="145">
        <v>47</v>
      </c>
      <c r="C70" s="145">
        <v>3011590</v>
      </c>
      <c r="D70" s="145" t="s">
        <v>760</v>
      </c>
      <c r="E70" s="145" t="s">
        <v>665</v>
      </c>
      <c r="F70" s="179"/>
      <c r="G70" s="179" t="s">
        <v>1104</v>
      </c>
    </row>
    <row r="71" spans="1:7" x14ac:dyDescent="0.25">
      <c r="A71" t="str">
        <f t="shared" si="1"/>
        <v>DR11</v>
      </c>
      <c r="B71" s="145">
        <v>48</v>
      </c>
      <c r="C71" s="145">
        <v>3007993</v>
      </c>
      <c r="D71" s="145" t="s">
        <v>761</v>
      </c>
      <c r="E71" s="145" t="s">
        <v>278</v>
      </c>
      <c r="F71" s="179"/>
      <c r="G71" s="179" t="s">
        <v>1103</v>
      </c>
    </row>
    <row r="72" spans="1:7" x14ac:dyDescent="0.25">
      <c r="A72" t="str">
        <f t="shared" si="1"/>
        <v>DR12</v>
      </c>
      <c r="B72" s="145">
        <v>49</v>
      </c>
      <c r="C72" s="145">
        <v>3012078</v>
      </c>
      <c r="D72" s="145" t="s">
        <v>762</v>
      </c>
      <c r="E72" s="145" t="s">
        <v>278</v>
      </c>
      <c r="F72" s="179"/>
      <c r="G72" s="179" t="s">
        <v>1102</v>
      </c>
    </row>
    <row r="73" spans="1:7" x14ac:dyDescent="0.25">
      <c r="A73" t="str">
        <f t="shared" si="1"/>
        <v>DR13</v>
      </c>
      <c r="B73" s="145">
        <v>50</v>
      </c>
      <c r="C73" s="145">
        <v>3010051</v>
      </c>
      <c r="D73" s="145" t="s">
        <v>763</v>
      </c>
      <c r="E73" s="145" t="s">
        <v>665</v>
      </c>
      <c r="F73" s="179"/>
      <c r="G73" s="179" t="s">
        <v>1101</v>
      </c>
    </row>
    <row r="74" spans="1:7" x14ac:dyDescent="0.25">
      <c r="A74" t="str">
        <f t="shared" si="1"/>
        <v>DR14</v>
      </c>
      <c r="B74" s="145">
        <v>51</v>
      </c>
      <c r="C74" s="145">
        <v>3011296</v>
      </c>
      <c r="D74" s="145" t="s">
        <v>764</v>
      </c>
      <c r="E74" s="145" t="s">
        <v>665</v>
      </c>
      <c r="F74" s="179"/>
      <c r="G74" s="179" t="s">
        <v>1100</v>
      </c>
    </row>
    <row r="75" spans="1:7" x14ac:dyDescent="0.25">
      <c r="A75" t="str">
        <f t="shared" si="1"/>
        <v>DR15</v>
      </c>
      <c r="B75" s="145">
        <v>51</v>
      </c>
      <c r="C75" s="145" t="s">
        <v>908</v>
      </c>
      <c r="D75" s="145" t="s">
        <v>909</v>
      </c>
      <c r="E75" s="145" t="s">
        <v>278</v>
      </c>
      <c r="F75" s="179"/>
      <c r="G75" s="179" t="s">
        <v>1099</v>
      </c>
    </row>
    <row r="76" spans="1:7" x14ac:dyDescent="0.25">
      <c r="A76" t="str">
        <f t="shared" si="1"/>
        <v>DR16</v>
      </c>
      <c r="B76" s="145">
        <v>52</v>
      </c>
      <c r="C76" s="145">
        <v>3013629</v>
      </c>
      <c r="D76" s="145" t="s">
        <v>765</v>
      </c>
      <c r="E76" s="145" t="s">
        <v>664</v>
      </c>
      <c r="F76" s="179"/>
      <c r="G76" s="179" t="s">
        <v>1098</v>
      </c>
    </row>
    <row r="77" spans="1:7" x14ac:dyDescent="0.25">
      <c r="A77" t="str">
        <f t="shared" si="1"/>
        <v>DR17</v>
      </c>
      <c r="B77" s="145">
        <v>52</v>
      </c>
      <c r="C77" s="145" t="s">
        <v>910</v>
      </c>
      <c r="D77" s="145" t="s">
        <v>680</v>
      </c>
      <c r="E77" s="145" t="s">
        <v>664</v>
      </c>
      <c r="F77" s="179"/>
      <c r="G77" s="179" t="s">
        <v>1097</v>
      </c>
    </row>
    <row r="78" spans="1:7" x14ac:dyDescent="0.25">
      <c r="A78" t="str">
        <f t="shared" si="1"/>
        <v>DR18</v>
      </c>
      <c r="B78" s="145">
        <v>53</v>
      </c>
      <c r="C78" s="145">
        <v>3012023</v>
      </c>
      <c r="D78" s="145" t="s">
        <v>766</v>
      </c>
      <c r="E78" s="145" t="s">
        <v>665</v>
      </c>
      <c r="F78" s="179"/>
      <c r="G78" s="179" t="s">
        <v>1096</v>
      </c>
    </row>
    <row r="79" spans="1:7" x14ac:dyDescent="0.25">
      <c r="A79" t="str">
        <f t="shared" si="1"/>
        <v>DR19</v>
      </c>
      <c r="B79" s="145">
        <v>53</v>
      </c>
      <c r="C79" s="145" t="s">
        <v>911</v>
      </c>
      <c r="D79" s="145" t="s">
        <v>681</v>
      </c>
      <c r="E79" s="145" t="s">
        <v>665</v>
      </c>
      <c r="F79" s="179"/>
      <c r="G79" s="179" t="s">
        <v>1095</v>
      </c>
    </row>
    <row r="80" spans="1:7" x14ac:dyDescent="0.25">
      <c r="A80" t="str">
        <f t="shared" si="1"/>
        <v>DR20</v>
      </c>
      <c r="B80" s="145">
        <v>54</v>
      </c>
      <c r="C80" s="145">
        <v>3012024</v>
      </c>
      <c r="D80" s="145" t="s">
        <v>767</v>
      </c>
      <c r="E80" s="145" t="s">
        <v>278</v>
      </c>
      <c r="F80" s="179"/>
      <c r="G80" s="179" t="s">
        <v>1094</v>
      </c>
    </row>
    <row r="81" spans="1:7" x14ac:dyDescent="0.25">
      <c r="A81" t="str">
        <f t="shared" si="1"/>
        <v>DL1</v>
      </c>
      <c r="B81" s="145">
        <v>55</v>
      </c>
      <c r="C81" s="145">
        <v>3010407</v>
      </c>
      <c r="D81" s="145" t="s">
        <v>768</v>
      </c>
      <c r="E81" s="145" t="s">
        <v>278</v>
      </c>
      <c r="F81" s="179"/>
      <c r="G81" s="179" t="s">
        <v>1093</v>
      </c>
    </row>
    <row r="82" spans="1:7" x14ac:dyDescent="0.25">
      <c r="A82" t="str">
        <f t="shared" si="1"/>
        <v>DL2</v>
      </c>
      <c r="B82" s="145">
        <v>56</v>
      </c>
      <c r="C82" s="145">
        <v>3010394</v>
      </c>
      <c r="D82" s="145" t="s">
        <v>769</v>
      </c>
      <c r="E82" s="145" t="s">
        <v>665</v>
      </c>
      <c r="F82" s="179"/>
      <c r="G82" s="179" t="s">
        <v>1092</v>
      </c>
    </row>
    <row r="83" spans="1:7" x14ac:dyDescent="0.25">
      <c r="A83" t="str">
        <f t="shared" si="1"/>
        <v>DL3</v>
      </c>
      <c r="B83" s="145">
        <v>56</v>
      </c>
      <c r="C83" s="145" t="s">
        <v>912</v>
      </c>
      <c r="D83" s="145" t="s">
        <v>540</v>
      </c>
      <c r="E83" s="145" t="s">
        <v>278</v>
      </c>
      <c r="F83" s="179"/>
      <c r="G83" s="179" t="s">
        <v>1091</v>
      </c>
    </row>
    <row r="84" spans="1:7" x14ac:dyDescent="0.25">
      <c r="A84" t="str">
        <f t="shared" si="1"/>
        <v>DL4</v>
      </c>
      <c r="B84" s="145">
        <v>57</v>
      </c>
      <c r="C84" s="145">
        <v>3010376</v>
      </c>
      <c r="D84" s="145" t="s">
        <v>770</v>
      </c>
      <c r="E84" s="145" t="s">
        <v>665</v>
      </c>
      <c r="F84" s="179"/>
      <c r="G84" s="179" t="s">
        <v>1090</v>
      </c>
    </row>
    <row r="85" spans="1:7" x14ac:dyDescent="0.25">
      <c r="A85" t="str">
        <f t="shared" si="1"/>
        <v>DL5</v>
      </c>
      <c r="B85" s="145">
        <v>58</v>
      </c>
      <c r="C85" s="145">
        <v>3012464</v>
      </c>
      <c r="D85" s="145" t="s">
        <v>771</v>
      </c>
      <c r="E85" s="145" t="s">
        <v>278</v>
      </c>
      <c r="F85" s="179"/>
      <c r="G85" s="179" t="s">
        <v>1089</v>
      </c>
    </row>
    <row r="86" spans="1:7" x14ac:dyDescent="0.25">
      <c r="A86" t="str">
        <f t="shared" si="1"/>
        <v>DL6</v>
      </c>
      <c r="B86" s="145">
        <v>59</v>
      </c>
      <c r="C86" s="145">
        <v>3012462</v>
      </c>
      <c r="D86" s="145" t="s">
        <v>772</v>
      </c>
      <c r="E86" s="145" t="s">
        <v>665</v>
      </c>
      <c r="F86" s="179"/>
      <c r="G86" s="179" t="s">
        <v>1088</v>
      </c>
    </row>
    <row r="87" spans="1:7" x14ac:dyDescent="0.25">
      <c r="A87" t="str">
        <f t="shared" si="1"/>
        <v>DL7</v>
      </c>
      <c r="B87" s="145">
        <v>60</v>
      </c>
      <c r="C87" s="145">
        <v>3011861</v>
      </c>
      <c r="D87" s="145" t="s">
        <v>773</v>
      </c>
      <c r="E87" s="145" t="s">
        <v>665</v>
      </c>
      <c r="F87" s="179"/>
      <c r="G87" s="179" t="s">
        <v>1087</v>
      </c>
    </row>
    <row r="88" spans="1:7" x14ac:dyDescent="0.25">
      <c r="A88" t="str">
        <f t="shared" si="1"/>
        <v>DL8</v>
      </c>
      <c r="B88" s="145">
        <v>61</v>
      </c>
      <c r="C88" s="145">
        <v>3014070</v>
      </c>
      <c r="D88" s="145" t="s">
        <v>774</v>
      </c>
      <c r="E88" s="145" t="s">
        <v>665</v>
      </c>
      <c r="F88" s="179"/>
      <c r="G88" s="179" t="s">
        <v>1086</v>
      </c>
    </row>
    <row r="89" spans="1:7" x14ac:dyDescent="0.25">
      <c r="A89" t="str">
        <f t="shared" si="1"/>
        <v>DL9</v>
      </c>
      <c r="B89" s="145">
        <v>62</v>
      </c>
      <c r="C89" s="145">
        <v>3011636</v>
      </c>
      <c r="D89" s="145" t="s">
        <v>775</v>
      </c>
      <c r="E89" s="145" t="s">
        <v>665</v>
      </c>
      <c r="F89" s="179"/>
      <c r="G89" s="179" t="s">
        <v>1085</v>
      </c>
    </row>
    <row r="90" spans="1:7" x14ac:dyDescent="0.25">
      <c r="A90" t="str">
        <f t="shared" si="1"/>
        <v>DL10</v>
      </c>
      <c r="B90" s="145">
        <v>62</v>
      </c>
      <c r="C90" s="145" t="s">
        <v>913</v>
      </c>
      <c r="D90" s="145" t="s">
        <v>536</v>
      </c>
      <c r="E90" s="145" t="s">
        <v>278</v>
      </c>
      <c r="F90" s="179"/>
      <c r="G90" s="179" t="s">
        <v>1084</v>
      </c>
    </row>
    <row r="91" spans="1:7" x14ac:dyDescent="0.25">
      <c r="A91" t="str">
        <f t="shared" si="1"/>
        <v>DL11</v>
      </c>
      <c r="B91" s="145">
        <v>63</v>
      </c>
      <c r="C91" s="145">
        <v>3011701</v>
      </c>
      <c r="D91" s="145" t="s">
        <v>776</v>
      </c>
      <c r="E91" s="145" t="s">
        <v>665</v>
      </c>
      <c r="F91" s="179"/>
      <c r="G91" s="179" t="s">
        <v>1083</v>
      </c>
    </row>
    <row r="92" spans="1:7" x14ac:dyDescent="0.25">
      <c r="A92" t="str">
        <f t="shared" si="1"/>
        <v>DL12</v>
      </c>
      <c r="B92" s="145">
        <v>63</v>
      </c>
      <c r="C92" s="145" t="s">
        <v>914</v>
      </c>
      <c r="D92" s="145" t="s">
        <v>915</v>
      </c>
      <c r="E92" s="145" t="s">
        <v>278</v>
      </c>
      <c r="F92" s="179"/>
      <c r="G92" s="179" t="s">
        <v>1082</v>
      </c>
    </row>
    <row r="93" spans="1:7" x14ac:dyDescent="0.25">
      <c r="A93" t="str">
        <f t="shared" si="1"/>
        <v>DL13</v>
      </c>
      <c r="B93" s="145">
        <v>64</v>
      </c>
      <c r="C93" s="145">
        <v>3011589</v>
      </c>
      <c r="D93" s="145" t="s">
        <v>777</v>
      </c>
      <c r="E93" s="145" t="s">
        <v>665</v>
      </c>
      <c r="F93" s="179"/>
      <c r="G93" s="179" t="s">
        <v>1081</v>
      </c>
    </row>
    <row r="94" spans="1:7" x14ac:dyDescent="0.25">
      <c r="A94" t="str">
        <f t="shared" si="1"/>
        <v>DL14</v>
      </c>
      <c r="B94" s="145">
        <v>65</v>
      </c>
      <c r="C94" s="145">
        <v>3013642</v>
      </c>
      <c r="D94" s="145" t="s">
        <v>778</v>
      </c>
      <c r="E94" s="145" t="s">
        <v>278</v>
      </c>
      <c r="F94" s="179"/>
      <c r="G94" s="179" t="s">
        <v>1080</v>
      </c>
    </row>
    <row r="95" spans="1:7" x14ac:dyDescent="0.25">
      <c r="A95" t="str">
        <f t="shared" si="1"/>
        <v>DL15</v>
      </c>
      <c r="B95" s="145">
        <v>65</v>
      </c>
      <c r="C95" s="145" t="s">
        <v>916</v>
      </c>
      <c r="D95" s="145" t="s">
        <v>682</v>
      </c>
      <c r="E95" s="145" t="s">
        <v>665</v>
      </c>
      <c r="F95" s="179"/>
      <c r="G95" s="179" t="s">
        <v>1079</v>
      </c>
    </row>
    <row r="96" spans="1:7" x14ac:dyDescent="0.25">
      <c r="A96" t="str">
        <f t="shared" si="1"/>
        <v>DL16</v>
      </c>
      <c r="B96" s="145">
        <v>66</v>
      </c>
      <c r="C96" s="145">
        <v>3011401</v>
      </c>
      <c r="D96" s="145" t="s">
        <v>779</v>
      </c>
      <c r="E96" s="145" t="s">
        <v>665</v>
      </c>
      <c r="F96" s="179"/>
      <c r="G96" s="179" t="s">
        <v>1078</v>
      </c>
    </row>
    <row r="97" spans="1:7" x14ac:dyDescent="0.25">
      <c r="A97" t="str">
        <f t="shared" si="1"/>
        <v>DL17</v>
      </c>
      <c r="B97" s="145">
        <v>66</v>
      </c>
      <c r="C97" s="145" t="s">
        <v>917</v>
      </c>
      <c r="D97" s="145" t="s">
        <v>683</v>
      </c>
      <c r="E97" s="145" t="s">
        <v>278</v>
      </c>
      <c r="F97" s="179"/>
      <c r="G97" s="179" t="s">
        <v>1077</v>
      </c>
    </row>
    <row r="98" spans="1:7" x14ac:dyDescent="0.25">
      <c r="A98" t="str">
        <f t="shared" si="1"/>
        <v>DL18</v>
      </c>
      <c r="B98" s="145">
        <v>67</v>
      </c>
      <c r="C98" s="145">
        <v>3011288</v>
      </c>
      <c r="D98" s="145" t="s">
        <v>780</v>
      </c>
      <c r="E98" s="145" t="s">
        <v>665</v>
      </c>
      <c r="F98" s="179"/>
      <c r="G98" s="179" t="s">
        <v>1076</v>
      </c>
    </row>
    <row r="99" spans="1:7" x14ac:dyDescent="0.25">
      <c r="A99" t="str">
        <f t="shared" si="1"/>
        <v>DL19</v>
      </c>
      <c r="B99" s="145">
        <v>68</v>
      </c>
      <c r="C99" s="145">
        <v>7518991</v>
      </c>
      <c r="D99" s="145" t="s">
        <v>781</v>
      </c>
      <c r="E99" s="145" t="s">
        <v>664</v>
      </c>
      <c r="F99" s="179"/>
      <c r="G99" s="179" t="s">
        <v>1075</v>
      </c>
    </row>
    <row r="100" spans="1:7" x14ac:dyDescent="0.25">
      <c r="A100" t="str">
        <f t="shared" si="1"/>
        <v>DL20</v>
      </c>
      <c r="B100" s="145">
        <v>69</v>
      </c>
      <c r="C100" s="145">
        <v>3012281</v>
      </c>
      <c r="D100" s="145" t="s">
        <v>782</v>
      </c>
      <c r="E100" s="145" t="s">
        <v>665</v>
      </c>
      <c r="F100" s="179"/>
      <c r="G100" s="179" t="s">
        <v>1074</v>
      </c>
    </row>
    <row r="101" spans="1:7" x14ac:dyDescent="0.25">
      <c r="A101" t="str">
        <f t="shared" si="1"/>
        <v>BR1</v>
      </c>
      <c r="B101" s="145">
        <v>69</v>
      </c>
      <c r="C101" s="145" t="s">
        <v>918</v>
      </c>
      <c r="D101" s="145" t="s">
        <v>548</v>
      </c>
      <c r="E101" s="145" t="s">
        <v>278</v>
      </c>
      <c r="F101" s="179"/>
      <c r="G101" s="179" t="s">
        <v>1193</v>
      </c>
    </row>
    <row r="102" spans="1:7" x14ac:dyDescent="0.25">
      <c r="A102" t="str">
        <f t="shared" si="1"/>
        <v>BR2</v>
      </c>
      <c r="B102" s="145">
        <v>70</v>
      </c>
      <c r="C102" s="145">
        <v>3011348</v>
      </c>
      <c r="D102" s="145" t="s">
        <v>783</v>
      </c>
      <c r="E102" s="145" t="s">
        <v>278</v>
      </c>
      <c r="F102" s="179"/>
      <c r="G102" s="179" t="s">
        <v>1192</v>
      </c>
    </row>
    <row r="103" spans="1:7" x14ac:dyDescent="0.25">
      <c r="A103" t="str">
        <f t="shared" si="1"/>
        <v>BR3</v>
      </c>
      <c r="B103" s="145">
        <v>71</v>
      </c>
      <c r="C103" s="145">
        <v>3013679</v>
      </c>
      <c r="D103" s="145" t="s">
        <v>784</v>
      </c>
      <c r="E103" s="145" t="s">
        <v>665</v>
      </c>
      <c r="F103" s="179"/>
      <c r="G103" s="179" t="s">
        <v>1191</v>
      </c>
    </row>
    <row r="104" spans="1:7" x14ac:dyDescent="0.25">
      <c r="A104" t="str">
        <f t="shared" si="1"/>
        <v>BR4</v>
      </c>
      <c r="B104" s="145">
        <v>72</v>
      </c>
      <c r="C104" s="145">
        <v>7517972</v>
      </c>
      <c r="D104" s="145" t="s">
        <v>785</v>
      </c>
      <c r="E104" s="145" t="s">
        <v>278</v>
      </c>
      <c r="F104" s="179"/>
      <c r="G104" s="179" t="s">
        <v>1190</v>
      </c>
    </row>
    <row r="105" spans="1:7" x14ac:dyDescent="0.25">
      <c r="A105" t="str">
        <f t="shared" si="1"/>
        <v>BR5</v>
      </c>
      <c r="B105" s="145">
        <v>72</v>
      </c>
      <c r="C105" s="145" t="s">
        <v>919</v>
      </c>
      <c r="D105" s="145" t="s">
        <v>920</v>
      </c>
      <c r="E105" s="145" t="s">
        <v>665</v>
      </c>
      <c r="F105" s="179"/>
      <c r="G105" s="179" t="s">
        <v>1189</v>
      </c>
    </row>
    <row r="106" spans="1:7" x14ac:dyDescent="0.25">
      <c r="A106" t="str">
        <f t="shared" si="1"/>
        <v>BR6</v>
      </c>
      <c r="B106" s="145">
        <v>73</v>
      </c>
      <c r="C106" s="145">
        <v>3014047</v>
      </c>
      <c r="D106" s="145" t="s">
        <v>786</v>
      </c>
      <c r="E106" s="145" t="s">
        <v>664</v>
      </c>
      <c r="F106" s="179"/>
      <c r="G106" s="179" t="s">
        <v>1188</v>
      </c>
    </row>
    <row r="107" spans="1:7" x14ac:dyDescent="0.25">
      <c r="A107" t="str">
        <f t="shared" si="1"/>
        <v>BR7</v>
      </c>
      <c r="B107" s="145">
        <v>74</v>
      </c>
      <c r="C107" s="145">
        <v>3011804</v>
      </c>
      <c r="D107" s="145" t="s">
        <v>787</v>
      </c>
      <c r="E107" s="145" t="s">
        <v>278</v>
      </c>
      <c r="F107" s="179"/>
      <c r="G107" s="179" t="s">
        <v>1187</v>
      </c>
    </row>
    <row r="108" spans="1:7" x14ac:dyDescent="0.25">
      <c r="A108" t="str">
        <f t="shared" si="1"/>
        <v>BR8</v>
      </c>
      <c r="B108" s="145">
        <v>74</v>
      </c>
      <c r="C108" s="145" t="s">
        <v>921</v>
      </c>
      <c r="D108" s="145" t="s">
        <v>535</v>
      </c>
      <c r="E108" s="145" t="s">
        <v>665</v>
      </c>
      <c r="F108" s="179"/>
      <c r="G108" s="179" t="s">
        <v>1186</v>
      </c>
    </row>
    <row r="109" spans="1:7" x14ac:dyDescent="0.25">
      <c r="A109" t="str">
        <f t="shared" si="1"/>
        <v>BR9</v>
      </c>
      <c r="B109" s="145">
        <v>75</v>
      </c>
      <c r="C109" s="145">
        <v>3013665</v>
      </c>
      <c r="D109" s="145" t="s">
        <v>788</v>
      </c>
      <c r="E109" s="145" t="s">
        <v>664</v>
      </c>
      <c r="F109" s="179"/>
      <c r="G109" s="179" t="s">
        <v>1185</v>
      </c>
    </row>
    <row r="110" spans="1:7" x14ac:dyDescent="0.25">
      <c r="A110" t="str">
        <f t="shared" si="1"/>
        <v>BR10</v>
      </c>
      <c r="B110" s="145">
        <v>75</v>
      </c>
      <c r="C110" s="145" t="s">
        <v>922</v>
      </c>
      <c r="D110" s="145" t="s">
        <v>684</v>
      </c>
      <c r="E110" s="145" t="s">
        <v>665</v>
      </c>
      <c r="F110" s="179"/>
      <c r="G110" s="179" t="s">
        <v>1184</v>
      </c>
    </row>
    <row r="111" spans="1:7" x14ac:dyDescent="0.25">
      <c r="A111" t="str">
        <f t="shared" si="1"/>
        <v>BR11</v>
      </c>
      <c r="B111" s="145">
        <v>76</v>
      </c>
      <c r="C111" s="145">
        <v>3014058</v>
      </c>
      <c r="D111" s="145" t="s">
        <v>789</v>
      </c>
      <c r="E111" s="145" t="s">
        <v>665</v>
      </c>
      <c r="F111" s="179"/>
      <c r="G111" s="179" t="s">
        <v>1183</v>
      </c>
    </row>
    <row r="112" spans="1:7" x14ac:dyDescent="0.25">
      <c r="A112" t="str">
        <f t="shared" si="1"/>
        <v>BR12</v>
      </c>
      <c r="B112" s="145">
        <v>77</v>
      </c>
      <c r="C112" s="145">
        <v>3012926</v>
      </c>
      <c r="D112" s="145" t="s">
        <v>790</v>
      </c>
      <c r="E112" s="145" t="s">
        <v>665</v>
      </c>
      <c r="F112" s="179"/>
      <c r="G112" s="179" t="s">
        <v>1182</v>
      </c>
    </row>
    <row r="113" spans="1:7" x14ac:dyDescent="0.25">
      <c r="A113" t="str">
        <f t="shared" si="1"/>
        <v>BR13</v>
      </c>
      <c r="B113" s="145">
        <v>78</v>
      </c>
      <c r="C113" s="145">
        <v>3009507</v>
      </c>
      <c r="D113" s="145" t="s">
        <v>791</v>
      </c>
      <c r="E113" s="145" t="s">
        <v>278</v>
      </c>
      <c r="F113" s="179"/>
      <c r="G113" s="179" t="s">
        <v>1181</v>
      </c>
    </row>
    <row r="114" spans="1:7" x14ac:dyDescent="0.25">
      <c r="A114" t="str">
        <f t="shared" si="1"/>
        <v>BR14</v>
      </c>
      <c r="B114" s="145">
        <v>79</v>
      </c>
      <c r="C114" s="145">
        <v>3013051</v>
      </c>
      <c r="D114" s="145" t="s">
        <v>792</v>
      </c>
      <c r="E114" s="145" t="s">
        <v>664</v>
      </c>
      <c r="F114" s="179"/>
      <c r="G114" s="179" t="s">
        <v>1180</v>
      </c>
    </row>
    <row r="115" spans="1:7" x14ac:dyDescent="0.25">
      <c r="A115" t="str">
        <f t="shared" si="1"/>
        <v>BR15</v>
      </c>
      <c r="B115" s="145">
        <v>80</v>
      </c>
      <c r="C115" s="145">
        <v>3013044</v>
      </c>
      <c r="D115" s="145" t="s">
        <v>793</v>
      </c>
      <c r="E115" s="145" t="s">
        <v>665</v>
      </c>
      <c r="F115" s="179"/>
      <c r="G115" s="179" t="s">
        <v>1179</v>
      </c>
    </row>
    <row r="116" spans="1:7" x14ac:dyDescent="0.25">
      <c r="A116" t="str">
        <f t="shared" si="1"/>
        <v>BR16</v>
      </c>
      <c r="B116" s="145">
        <v>81</v>
      </c>
      <c r="C116" s="145">
        <v>3014807</v>
      </c>
      <c r="D116" s="145" t="s">
        <v>794</v>
      </c>
      <c r="E116" s="145" t="s">
        <v>664</v>
      </c>
      <c r="F116" s="179"/>
      <c r="G116" s="179" t="s">
        <v>1178</v>
      </c>
    </row>
    <row r="117" spans="1:7" x14ac:dyDescent="0.25">
      <c r="A117" t="str">
        <f t="shared" si="1"/>
        <v>BR17</v>
      </c>
      <c r="B117" s="145">
        <v>82</v>
      </c>
      <c r="C117" s="145">
        <v>3013250</v>
      </c>
      <c r="D117" s="145" t="s">
        <v>795</v>
      </c>
      <c r="E117" s="145" t="s">
        <v>665</v>
      </c>
      <c r="F117" s="179"/>
      <c r="G117" s="179" t="s">
        <v>1177</v>
      </c>
    </row>
    <row r="118" spans="1:7" x14ac:dyDescent="0.25">
      <c r="A118" t="str">
        <f t="shared" si="1"/>
        <v>BR18</v>
      </c>
      <c r="B118" s="145">
        <v>83</v>
      </c>
      <c r="C118" s="145">
        <v>3009166</v>
      </c>
      <c r="D118" s="145" t="s">
        <v>796</v>
      </c>
      <c r="E118" s="145" t="s">
        <v>664</v>
      </c>
      <c r="F118" s="179"/>
      <c r="G118" s="179" t="s">
        <v>1176</v>
      </c>
    </row>
    <row r="119" spans="1:7" x14ac:dyDescent="0.25">
      <c r="A119" t="str">
        <f t="shared" si="1"/>
        <v>BR19</v>
      </c>
      <c r="B119" s="145">
        <v>83</v>
      </c>
      <c r="C119" s="145" t="s">
        <v>923</v>
      </c>
      <c r="D119" s="145" t="s">
        <v>545</v>
      </c>
      <c r="E119" s="145" t="s">
        <v>665</v>
      </c>
      <c r="F119" s="179"/>
      <c r="G119" s="179" t="s">
        <v>1175</v>
      </c>
    </row>
    <row r="120" spans="1:7" x14ac:dyDescent="0.25">
      <c r="A120" t="str">
        <f t="shared" si="1"/>
        <v>BR20</v>
      </c>
      <c r="B120" s="145">
        <v>84</v>
      </c>
      <c r="C120" s="145">
        <v>3014790</v>
      </c>
      <c r="D120" s="145" t="s">
        <v>797</v>
      </c>
      <c r="E120" s="145" t="s">
        <v>664</v>
      </c>
      <c r="F120" s="179"/>
      <c r="G120" s="179" t="s">
        <v>1174</v>
      </c>
    </row>
    <row r="121" spans="1:7" x14ac:dyDescent="0.25">
      <c r="A121" t="str">
        <f t="shared" si="1"/>
        <v>BL1</v>
      </c>
      <c r="B121" s="145">
        <v>84</v>
      </c>
      <c r="C121" s="145" t="s">
        <v>924</v>
      </c>
      <c r="D121" s="145" t="s">
        <v>925</v>
      </c>
      <c r="E121" s="145" t="s">
        <v>278</v>
      </c>
      <c r="F121" s="179"/>
      <c r="G121" s="179" t="s">
        <v>1173</v>
      </c>
    </row>
    <row r="122" spans="1:7" x14ac:dyDescent="0.25">
      <c r="A122" t="str">
        <f t="shared" si="1"/>
        <v>BL2</v>
      </c>
      <c r="B122" s="145">
        <v>85</v>
      </c>
      <c r="C122" s="145">
        <v>7526905</v>
      </c>
      <c r="D122" s="145" t="s">
        <v>798</v>
      </c>
      <c r="E122" s="145" t="s">
        <v>665</v>
      </c>
      <c r="F122" s="179"/>
      <c r="G122" s="179" t="s">
        <v>1172</v>
      </c>
    </row>
    <row r="123" spans="1:7" x14ac:dyDescent="0.25">
      <c r="A123" t="str">
        <f t="shared" si="1"/>
        <v>BL3</v>
      </c>
      <c r="B123" s="145">
        <v>85</v>
      </c>
      <c r="C123" s="145" t="s">
        <v>926</v>
      </c>
      <c r="D123" s="145" t="s">
        <v>546</v>
      </c>
      <c r="E123" s="145" t="s">
        <v>665</v>
      </c>
      <c r="F123" s="179"/>
      <c r="G123" s="179" t="s">
        <v>1171</v>
      </c>
    </row>
    <row r="124" spans="1:7" x14ac:dyDescent="0.25">
      <c r="A124" t="str">
        <f t="shared" si="1"/>
        <v>BL4</v>
      </c>
      <c r="B124" s="145">
        <v>86</v>
      </c>
      <c r="C124" s="145">
        <v>7526077</v>
      </c>
      <c r="D124" s="145" t="s">
        <v>799</v>
      </c>
      <c r="E124" s="145" t="s">
        <v>278</v>
      </c>
      <c r="F124" s="179"/>
      <c r="G124" s="179" t="s">
        <v>1170</v>
      </c>
    </row>
    <row r="125" spans="1:7" x14ac:dyDescent="0.25">
      <c r="A125" t="str">
        <f t="shared" si="1"/>
        <v>BL5</v>
      </c>
      <c r="B125" s="145">
        <v>86</v>
      </c>
      <c r="C125" s="145" t="s">
        <v>927</v>
      </c>
      <c r="D125" s="145" t="s">
        <v>928</v>
      </c>
      <c r="E125" s="145" t="s">
        <v>665</v>
      </c>
      <c r="F125" s="179"/>
      <c r="G125" s="179" t="s">
        <v>1169</v>
      </c>
    </row>
    <row r="126" spans="1:7" x14ac:dyDescent="0.25">
      <c r="A126" t="str">
        <f t="shared" si="1"/>
        <v>BL6</v>
      </c>
      <c r="B126" s="145">
        <v>87</v>
      </c>
      <c r="C126" s="145">
        <v>7516681</v>
      </c>
      <c r="D126" s="145" t="s">
        <v>800</v>
      </c>
      <c r="E126" s="145" t="s">
        <v>665</v>
      </c>
      <c r="F126" s="179"/>
      <c r="G126" s="179" t="s">
        <v>1168</v>
      </c>
    </row>
    <row r="127" spans="1:7" x14ac:dyDescent="0.25">
      <c r="A127" t="str">
        <f t="shared" si="1"/>
        <v>BL7</v>
      </c>
      <c r="B127" s="145">
        <v>88</v>
      </c>
      <c r="C127" s="145">
        <v>3007758</v>
      </c>
      <c r="D127" s="145" t="s">
        <v>801</v>
      </c>
      <c r="E127" s="145" t="s">
        <v>665</v>
      </c>
      <c r="F127" s="179"/>
      <c r="G127" s="179" t="s">
        <v>1167</v>
      </c>
    </row>
    <row r="128" spans="1:7" x14ac:dyDescent="0.25">
      <c r="A128" t="str">
        <f t="shared" si="1"/>
        <v>BL8</v>
      </c>
      <c r="B128" s="145">
        <v>88</v>
      </c>
      <c r="C128" s="145" t="s">
        <v>929</v>
      </c>
      <c r="D128" s="145" t="s">
        <v>685</v>
      </c>
      <c r="E128" s="145" t="s">
        <v>278</v>
      </c>
      <c r="F128" s="179"/>
      <c r="G128" s="179" t="s">
        <v>1166</v>
      </c>
    </row>
    <row r="129" spans="1:7" x14ac:dyDescent="0.25">
      <c r="A129" t="str">
        <f t="shared" si="1"/>
        <v>BL9</v>
      </c>
      <c r="B129" s="145">
        <v>89</v>
      </c>
      <c r="C129" s="145">
        <v>3007876</v>
      </c>
      <c r="D129" s="145" t="s">
        <v>802</v>
      </c>
      <c r="E129" s="145" t="s">
        <v>278</v>
      </c>
      <c r="F129" s="179"/>
      <c r="G129" s="179" t="s">
        <v>1165</v>
      </c>
    </row>
    <row r="130" spans="1:7" x14ac:dyDescent="0.25">
      <c r="A130" t="str">
        <f t="shared" si="1"/>
        <v>BL10</v>
      </c>
      <c r="B130" s="145">
        <v>90</v>
      </c>
      <c r="C130" s="145">
        <v>3013754</v>
      </c>
      <c r="D130" s="145" t="s">
        <v>803</v>
      </c>
      <c r="E130" s="145" t="s">
        <v>664</v>
      </c>
      <c r="F130" s="179"/>
      <c r="G130" s="179" t="s">
        <v>1164</v>
      </c>
    </row>
    <row r="131" spans="1:7" x14ac:dyDescent="0.25">
      <c r="A131" t="str">
        <f t="shared" ref="A131:A194" si="2">G131</f>
        <v>BL11</v>
      </c>
      <c r="B131" s="145">
        <v>91</v>
      </c>
      <c r="C131" s="145">
        <v>3013482</v>
      </c>
      <c r="D131" s="145" t="s">
        <v>804</v>
      </c>
      <c r="E131" s="145" t="s">
        <v>278</v>
      </c>
      <c r="F131" s="179"/>
      <c r="G131" s="179" t="s">
        <v>1163</v>
      </c>
    </row>
    <row r="132" spans="1:7" x14ac:dyDescent="0.25">
      <c r="A132" t="str">
        <f t="shared" si="2"/>
        <v>BL12</v>
      </c>
      <c r="B132" s="145">
        <v>92</v>
      </c>
      <c r="C132" s="145">
        <v>3013664</v>
      </c>
      <c r="D132" s="145" t="s">
        <v>805</v>
      </c>
      <c r="E132" s="145" t="s">
        <v>664</v>
      </c>
      <c r="F132" s="179"/>
      <c r="G132" s="179" t="s">
        <v>1162</v>
      </c>
    </row>
    <row r="133" spans="1:7" x14ac:dyDescent="0.25">
      <c r="A133" t="str">
        <f t="shared" si="2"/>
        <v>BL13</v>
      </c>
      <c r="B133" s="145">
        <v>93</v>
      </c>
      <c r="C133" s="145">
        <v>7520898</v>
      </c>
      <c r="D133" s="145" t="s">
        <v>806</v>
      </c>
      <c r="E133" s="145" t="s">
        <v>665</v>
      </c>
      <c r="F133" s="179"/>
      <c r="G133" s="179" t="s">
        <v>1161</v>
      </c>
    </row>
    <row r="134" spans="1:7" x14ac:dyDescent="0.25">
      <c r="A134" t="str">
        <f t="shared" si="2"/>
        <v>BL14</v>
      </c>
      <c r="B134" s="145">
        <v>94</v>
      </c>
      <c r="C134" s="145">
        <v>3014288</v>
      </c>
      <c r="D134" s="145" t="s">
        <v>807</v>
      </c>
      <c r="E134" s="145" t="s">
        <v>665</v>
      </c>
      <c r="F134" s="179"/>
      <c r="G134" s="179" t="s">
        <v>1160</v>
      </c>
    </row>
    <row r="135" spans="1:7" x14ac:dyDescent="0.25">
      <c r="A135" t="str">
        <f t="shared" si="2"/>
        <v>BL15</v>
      </c>
      <c r="B135" s="145">
        <v>95</v>
      </c>
      <c r="C135" s="145">
        <v>3014295</v>
      </c>
      <c r="D135" s="145" t="s">
        <v>808</v>
      </c>
      <c r="E135" s="145" t="s">
        <v>278</v>
      </c>
      <c r="F135" s="179"/>
      <c r="G135" s="179" t="s">
        <v>1159</v>
      </c>
    </row>
    <row r="136" spans="1:7" x14ac:dyDescent="0.25">
      <c r="A136" t="str">
        <f t="shared" si="2"/>
        <v>BL16</v>
      </c>
      <c r="B136" s="145">
        <v>96</v>
      </c>
      <c r="C136" s="145">
        <v>3014299</v>
      </c>
      <c r="D136" s="145" t="s">
        <v>809</v>
      </c>
      <c r="E136" s="145" t="s">
        <v>278</v>
      </c>
      <c r="F136" s="179"/>
      <c r="G136" s="179" t="s">
        <v>1158</v>
      </c>
    </row>
    <row r="137" spans="1:7" x14ac:dyDescent="0.25">
      <c r="A137" t="str">
        <f t="shared" si="2"/>
        <v>BL17</v>
      </c>
      <c r="B137" s="145">
        <v>97</v>
      </c>
      <c r="C137" s="145">
        <v>3014312</v>
      </c>
      <c r="D137" s="145" t="s">
        <v>810</v>
      </c>
      <c r="E137" s="145" t="s">
        <v>665</v>
      </c>
      <c r="F137" s="179"/>
      <c r="G137" s="179" t="s">
        <v>1157</v>
      </c>
    </row>
    <row r="138" spans="1:7" x14ac:dyDescent="0.25">
      <c r="A138" t="str">
        <f t="shared" si="2"/>
        <v>BL18</v>
      </c>
      <c r="B138" s="145">
        <v>98</v>
      </c>
      <c r="C138" s="145">
        <v>3014335</v>
      </c>
      <c r="D138" s="145" t="s">
        <v>811</v>
      </c>
      <c r="E138" s="145" t="s">
        <v>665</v>
      </c>
      <c r="F138" s="179"/>
      <c r="G138" s="179" t="s">
        <v>1156</v>
      </c>
    </row>
    <row r="139" spans="1:7" x14ac:dyDescent="0.25">
      <c r="A139" t="str">
        <f t="shared" si="2"/>
        <v>BL19</v>
      </c>
      <c r="B139" s="145">
        <v>99</v>
      </c>
      <c r="C139" s="145">
        <v>3014345</v>
      </c>
      <c r="D139" s="145" t="s">
        <v>812</v>
      </c>
      <c r="E139" s="145" t="s">
        <v>664</v>
      </c>
      <c r="F139" s="179"/>
      <c r="G139" s="179" t="s">
        <v>1155</v>
      </c>
    </row>
    <row r="140" spans="1:7" x14ac:dyDescent="0.25">
      <c r="A140" t="str">
        <f t="shared" si="2"/>
        <v>BL20</v>
      </c>
      <c r="B140" s="145">
        <v>100</v>
      </c>
      <c r="C140" s="145">
        <v>7526134</v>
      </c>
      <c r="D140" s="145" t="s">
        <v>813</v>
      </c>
      <c r="E140" s="145" t="s">
        <v>665</v>
      </c>
      <c r="F140" s="179"/>
      <c r="G140" s="179" t="s">
        <v>1154</v>
      </c>
    </row>
    <row r="141" spans="1:7" x14ac:dyDescent="0.25">
      <c r="A141" t="str">
        <f t="shared" si="2"/>
        <v>ER1</v>
      </c>
      <c r="B141" s="145">
        <v>101</v>
      </c>
      <c r="C141" s="145">
        <v>3015491</v>
      </c>
      <c r="D141" s="145" t="s">
        <v>814</v>
      </c>
      <c r="E141" s="145" t="s">
        <v>665</v>
      </c>
      <c r="F141" s="179"/>
      <c r="G141" s="179" t="s">
        <v>1073</v>
      </c>
    </row>
    <row r="142" spans="1:7" x14ac:dyDescent="0.25">
      <c r="A142" t="str">
        <f t="shared" si="2"/>
        <v>ER2</v>
      </c>
      <c r="B142" s="145">
        <v>101</v>
      </c>
      <c r="C142" s="145" t="s">
        <v>930</v>
      </c>
      <c r="D142" s="145" t="s">
        <v>686</v>
      </c>
      <c r="E142" s="145" t="s">
        <v>665</v>
      </c>
      <c r="F142" s="179"/>
      <c r="G142" s="179" t="s">
        <v>1072</v>
      </c>
    </row>
    <row r="143" spans="1:7" x14ac:dyDescent="0.25">
      <c r="A143" t="str">
        <f t="shared" si="2"/>
        <v>ER3</v>
      </c>
      <c r="B143" s="145">
        <v>102</v>
      </c>
      <c r="C143" s="145">
        <v>3014863</v>
      </c>
      <c r="D143" s="145" t="s">
        <v>815</v>
      </c>
      <c r="E143" s="145" t="s">
        <v>664</v>
      </c>
      <c r="F143" s="179"/>
      <c r="G143" s="179" t="s">
        <v>1071</v>
      </c>
    </row>
    <row r="144" spans="1:7" x14ac:dyDescent="0.25">
      <c r="A144" t="str">
        <f t="shared" si="2"/>
        <v>ER4</v>
      </c>
      <c r="B144" s="145">
        <v>102</v>
      </c>
      <c r="C144" s="145" t="s">
        <v>931</v>
      </c>
      <c r="D144" s="145" t="s">
        <v>687</v>
      </c>
      <c r="E144" s="145" t="s">
        <v>664</v>
      </c>
      <c r="F144" s="179"/>
      <c r="G144" s="179" t="s">
        <v>1070</v>
      </c>
    </row>
    <row r="145" spans="1:7" x14ac:dyDescent="0.25">
      <c r="A145" t="str">
        <f t="shared" si="2"/>
        <v>ER5</v>
      </c>
      <c r="B145" s="145">
        <v>103</v>
      </c>
      <c r="C145" s="145">
        <v>3015165</v>
      </c>
      <c r="D145" s="145" t="s">
        <v>816</v>
      </c>
      <c r="E145" s="145" t="s">
        <v>665</v>
      </c>
      <c r="F145" s="179"/>
      <c r="G145" s="179" t="s">
        <v>1069</v>
      </c>
    </row>
    <row r="146" spans="1:7" x14ac:dyDescent="0.25">
      <c r="A146" t="str">
        <f t="shared" si="2"/>
        <v>ER6</v>
      </c>
      <c r="B146" s="145">
        <v>104</v>
      </c>
      <c r="C146" s="145">
        <v>3015175</v>
      </c>
      <c r="D146" s="145" t="s">
        <v>817</v>
      </c>
      <c r="E146" s="145" t="s">
        <v>278</v>
      </c>
      <c r="F146" s="179"/>
      <c r="G146" s="179" t="s">
        <v>1068</v>
      </c>
    </row>
    <row r="147" spans="1:7" x14ac:dyDescent="0.25">
      <c r="A147" t="str">
        <f t="shared" si="2"/>
        <v>ER7</v>
      </c>
      <c r="B147" s="145">
        <v>105</v>
      </c>
      <c r="C147" s="145">
        <v>3015342</v>
      </c>
      <c r="D147" s="145" t="s">
        <v>818</v>
      </c>
      <c r="E147" s="145" t="s">
        <v>665</v>
      </c>
      <c r="F147" s="179"/>
      <c r="G147" s="179" t="s">
        <v>1067</v>
      </c>
    </row>
    <row r="148" spans="1:7" x14ac:dyDescent="0.25">
      <c r="A148" t="str">
        <f t="shared" si="2"/>
        <v>ER8</v>
      </c>
      <c r="B148" s="145">
        <v>106</v>
      </c>
      <c r="C148" s="145">
        <v>3015481</v>
      </c>
      <c r="D148" s="145" t="s">
        <v>819</v>
      </c>
      <c r="E148" s="145" t="s">
        <v>664</v>
      </c>
      <c r="F148" s="179"/>
      <c r="G148" s="179" t="s">
        <v>1066</v>
      </c>
    </row>
    <row r="149" spans="1:7" x14ac:dyDescent="0.25">
      <c r="A149" t="str">
        <f t="shared" si="2"/>
        <v>ER9</v>
      </c>
      <c r="B149" s="145">
        <v>106</v>
      </c>
      <c r="C149" s="145" t="s">
        <v>932</v>
      </c>
      <c r="D149" s="145" t="s">
        <v>933</v>
      </c>
      <c r="E149" s="145" t="s">
        <v>664</v>
      </c>
      <c r="F149" s="179"/>
      <c r="G149" s="179" t="s">
        <v>1065</v>
      </c>
    </row>
    <row r="150" spans="1:7" x14ac:dyDescent="0.25">
      <c r="A150" t="str">
        <f t="shared" si="2"/>
        <v>ER10</v>
      </c>
      <c r="B150" s="145">
        <v>107</v>
      </c>
      <c r="C150" s="145">
        <v>3015482</v>
      </c>
      <c r="D150" s="145" t="s">
        <v>820</v>
      </c>
      <c r="E150" s="145" t="s">
        <v>664</v>
      </c>
      <c r="F150" s="179"/>
      <c r="G150" s="179" t="s">
        <v>1064</v>
      </c>
    </row>
    <row r="151" spans="1:7" x14ac:dyDescent="0.25">
      <c r="A151" t="str">
        <f t="shared" si="2"/>
        <v>ER11</v>
      </c>
      <c r="B151" s="145">
        <v>108</v>
      </c>
      <c r="C151" s="145">
        <v>7520874</v>
      </c>
      <c r="D151" s="145" t="s">
        <v>821</v>
      </c>
      <c r="E151" s="145" t="s">
        <v>664</v>
      </c>
      <c r="F151" s="179"/>
      <c r="G151" s="179" t="s">
        <v>1063</v>
      </c>
    </row>
    <row r="152" spans="1:7" x14ac:dyDescent="0.25">
      <c r="A152" t="str">
        <f t="shared" si="2"/>
        <v>ER12</v>
      </c>
      <c r="B152" s="145">
        <v>108</v>
      </c>
      <c r="C152" s="145" t="s">
        <v>934</v>
      </c>
      <c r="D152" s="145" t="s">
        <v>570</v>
      </c>
      <c r="E152" s="145" t="s">
        <v>665</v>
      </c>
      <c r="F152" s="179"/>
      <c r="G152" s="179" t="s">
        <v>1062</v>
      </c>
    </row>
    <row r="153" spans="1:7" x14ac:dyDescent="0.25">
      <c r="A153" t="str">
        <f t="shared" si="2"/>
        <v>ER13</v>
      </c>
      <c r="B153" s="145">
        <v>109</v>
      </c>
      <c r="C153" s="145">
        <v>7522066</v>
      </c>
      <c r="D153" s="145" t="s">
        <v>822</v>
      </c>
      <c r="E153" s="145" t="s">
        <v>664</v>
      </c>
      <c r="F153" s="179"/>
      <c r="G153" s="179" t="s">
        <v>1061</v>
      </c>
    </row>
    <row r="154" spans="1:7" x14ac:dyDescent="0.25">
      <c r="A154" t="str">
        <f t="shared" si="2"/>
        <v>ER14</v>
      </c>
      <c r="B154" s="145">
        <v>110</v>
      </c>
      <c r="C154" s="145">
        <v>7522806</v>
      </c>
      <c r="D154" s="145" t="s">
        <v>823</v>
      </c>
      <c r="E154" s="145" t="s">
        <v>665</v>
      </c>
      <c r="F154" s="179"/>
      <c r="G154" s="179" t="s">
        <v>1060</v>
      </c>
    </row>
    <row r="155" spans="1:7" x14ac:dyDescent="0.25">
      <c r="A155" t="str">
        <f t="shared" si="2"/>
        <v>ER15</v>
      </c>
      <c r="B155" s="145">
        <v>111</v>
      </c>
      <c r="C155" s="145">
        <v>7522828</v>
      </c>
      <c r="D155" s="145" t="s">
        <v>824</v>
      </c>
      <c r="E155" s="145" t="s">
        <v>665</v>
      </c>
      <c r="F155" s="179"/>
      <c r="G155" s="179" t="s">
        <v>1059</v>
      </c>
    </row>
    <row r="156" spans="1:7" x14ac:dyDescent="0.25">
      <c r="A156" t="str">
        <f t="shared" si="2"/>
        <v>ER16</v>
      </c>
      <c r="B156" s="145">
        <v>112</v>
      </c>
      <c r="C156" s="145">
        <v>7524332</v>
      </c>
      <c r="D156" s="145" t="s">
        <v>825</v>
      </c>
      <c r="E156" s="145" t="s">
        <v>278</v>
      </c>
      <c r="F156" s="179"/>
      <c r="G156" s="179" t="s">
        <v>1058</v>
      </c>
    </row>
    <row r="157" spans="1:7" x14ac:dyDescent="0.25">
      <c r="A157" t="str">
        <f t="shared" si="2"/>
        <v>ER17</v>
      </c>
      <c r="B157" s="145">
        <v>113</v>
      </c>
      <c r="C157" s="145">
        <v>7524662</v>
      </c>
      <c r="D157" s="145" t="s">
        <v>826</v>
      </c>
      <c r="E157" s="145" t="s">
        <v>664</v>
      </c>
      <c r="F157" s="179"/>
      <c r="G157" s="179" t="s">
        <v>1057</v>
      </c>
    </row>
    <row r="158" spans="1:7" x14ac:dyDescent="0.25">
      <c r="A158" t="str">
        <f t="shared" si="2"/>
        <v>ER18</v>
      </c>
      <c r="B158" s="145">
        <v>114</v>
      </c>
      <c r="C158" s="145">
        <v>7525036</v>
      </c>
      <c r="D158" s="145" t="s">
        <v>827</v>
      </c>
      <c r="E158" s="145" t="s">
        <v>664</v>
      </c>
      <c r="F158" s="179"/>
      <c r="G158" s="179" t="s">
        <v>1056</v>
      </c>
    </row>
    <row r="159" spans="1:7" x14ac:dyDescent="0.25">
      <c r="A159" t="str">
        <f t="shared" si="2"/>
        <v>ER19</v>
      </c>
      <c r="B159" s="145">
        <v>115</v>
      </c>
      <c r="C159" s="145">
        <v>7526808</v>
      </c>
      <c r="D159" s="145" t="s">
        <v>828</v>
      </c>
      <c r="E159" s="145" t="s">
        <v>665</v>
      </c>
      <c r="F159" s="179"/>
      <c r="G159" s="179" t="s">
        <v>1055</v>
      </c>
    </row>
    <row r="160" spans="1:7" x14ac:dyDescent="0.25">
      <c r="A160" t="str">
        <f t="shared" si="2"/>
        <v>ER20</v>
      </c>
      <c r="B160" s="145">
        <v>115</v>
      </c>
      <c r="C160" s="145" t="s">
        <v>935</v>
      </c>
      <c r="D160" s="145" t="s">
        <v>936</v>
      </c>
      <c r="E160" s="145" t="s">
        <v>278</v>
      </c>
      <c r="F160" s="179"/>
      <c r="G160" s="179" t="s">
        <v>1054</v>
      </c>
    </row>
    <row r="161" spans="1:7" x14ac:dyDescent="0.25">
      <c r="A161" t="str">
        <f t="shared" si="2"/>
        <v>EL1</v>
      </c>
      <c r="B161" s="145">
        <v>116</v>
      </c>
      <c r="C161" s="145">
        <v>7528023</v>
      </c>
      <c r="D161" s="145" t="s">
        <v>829</v>
      </c>
      <c r="E161" s="145" t="s">
        <v>665</v>
      </c>
      <c r="F161" s="179"/>
      <c r="G161" s="179" t="s">
        <v>1053</v>
      </c>
    </row>
    <row r="162" spans="1:7" x14ac:dyDescent="0.25">
      <c r="A162" t="str">
        <f t="shared" si="2"/>
        <v>EL2</v>
      </c>
      <c r="B162" s="145">
        <v>117</v>
      </c>
      <c r="C162" s="145">
        <v>7528887</v>
      </c>
      <c r="D162" s="145" t="s">
        <v>830</v>
      </c>
      <c r="E162" s="145" t="s">
        <v>664</v>
      </c>
      <c r="F162" s="179"/>
      <c r="G162" s="179" t="s">
        <v>1052</v>
      </c>
    </row>
    <row r="163" spans="1:7" x14ac:dyDescent="0.25">
      <c r="A163" t="str">
        <f t="shared" si="2"/>
        <v>EL3</v>
      </c>
      <c r="B163" s="145">
        <v>118</v>
      </c>
      <c r="C163" s="145">
        <v>7528920</v>
      </c>
      <c r="D163" s="145" t="s">
        <v>831</v>
      </c>
      <c r="E163" s="145" t="s">
        <v>665</v>
      </c>
      <c r="F163" s="179"/>
      <c r="G163" s="179" t="s">
        <v>1051</v>
      </c>
    </row>
    <row r="164" spans="1:7" x14ac:dyDescent="0.25">
      <c r="A164" t="str">
        <f t="shared" si="2"/>
        <v>EL4</v>
      </c>
      <c r="B164" s="145">
        <v>119</v>
      </c>
      <c r="C164" s="145">
        <v>3014988</v>
      </c>
      <c r="D164" s="145" t="s">
        <v>832</v>
      </c>
      <c r="E164" s="145" t="s">
        <v>664</v>
      </c>
      <c r="F164" s="179"/>
      <c r="G164" s="179" t="s">
        <v>1050</v>
      </c>
    </row>
    <row r="165" spans="1:7" x14ac:dyDescent="0.25">
      <c r="A165" t="str">
        <f t="shared" si="2"/>
        <v>EL5</v>
      </c>
      <c r="B165" s="145">
        <v>119</v>
      </c>
      <c r="C165" s="145" t="s">
        <v>937</v>
      </c>
      <c r="D165" s="145" t="s">
        <v>938</v>
      </c>
      <c r="E165" s="145" t="s">
        <v>665</v>
      </c>
      <c r="F165" s="179"/>
      <c r="G165" s="179" t="s">
        <v>1049</v>
      </c>
    </row>
    <row r="166" spans="1:7" x14ac:dyDescent="0.25">
      <c r="A166" t="str">
        <f t="shared" si="2"/>
        <v>EL6</v>
      </c>
      <c r="B166" s="145">
        <v>120</v>
      </c>
      <c r="C166" s="145">
        <v>3015032</v>
      </c>
      <c r="D166" s="145" t="s">
        <v>833</v>
      </c>
      <c r="E166" s="145" t="s">
        <v>665</v>
      </c>
      <c r="F166" s="179"/>
      <c r="G166" s="179" t="s">
        <v>1048</v>
      </c>
    </row>
    <row r="167" spans="1:7" x14ac:dyDescent="0.25">
      <c r="A167" t="str">
        <f t="shared" si="2"/>
        <v>EL7</v>
      </c>
      <c r="B167" s="145">
        <v>121</v>
      </c>
      <c r="C167" s="145">
        <v>7524494</v>
      </c>
      <c r="D167" s="145" t="s">
        <v>834</v>
      </c>
      <c r="E167" s="145" t="s">
        <v>665</v>
      </c>
      <c r="F167" s="179"/>
      <c r="G167" s="179" t="s">
        <v>1047</v>
      </c>
    </row>
    <row r="168" spans="1:7" x14ac:dyDescent="0.25">
      <c r="A168" t="str">
        <f t="shared" si="2"/>
        <v>EL8</v>
      </c>
      <c r="B168" s="145">
        <v>122</v>
      </c>
      <c r="C168" s="145">
        <v>3015908</v>
      </c>
      <c r="D168" s="145" t="s">
        <v>835</v>
      </c>
      <c r="E168" s="145" t="s">
        <v>664</v>
      </c>
      <c r="F168" s="179"/>
      <c r="G168" s="179" t="s">
        <v>1046</v>
      </c>
    </row>
    <row r="169" spans="1:7" x14ac:dyDescent="0.25">
      <c r="A169" t="str">
        <f t="shared" si="2"/>
        <v>EL9</v>
      </c>
      <c r="B169" s="145">
        <v>123</v>
      </c>
      <c r="C169" s="145">
        <v>7529865</v>
      </c>
      <c r="D169" s="145" t="s">
        <v>836</v>
      </c>
      <c r="E169" s="145" t="s">
        <v>665</v>
      </c>
      <c r="F169" s="179"/>
      <c r="G169" s="179" t="s">
        <v>1045</v>
      </c>
    </row>
    <row r="170" spans="1:7" x14ac:dyDescent="0.25">
      <c r="A170" t="str">
        <f t="shared" si="2"/>
        <v>EL10</v>
      </c>
      <c r="B170" s="145">
        <v>124</v>
      </c>
      <c r="C170" s="145">
        <v>7531062</v>
      </c>
      <c r="D170" s="145" t="s">
        <v>837</v>
      </c>
      <c r="E170" s="145" t="s">
        <v>664</v>
      </c>
      <c r="F170" s="179"/>
      <c r="G170" s="179" t="s">
        <v>1044</v>
      </c>
    </row>
    <row r="171" spans="1:7" x14ac:dyDescent="0.25">
      <c r="A171" t="str">
        <f t="shared" si="2"/>
        <v>EL11</v>
      </c>
      <c r="B171" s="145">
        <v>124</v>
      </c>
      <c r="C171" s="145" t="s">
        <v>939</v>
      </c>
      <c r="D171" s="145" t="s">
        <v>690</v>
      </c>
      <c r="E171" s="145" t="s">
        <v>665</v>
      </c>
      <c r="F171" s="179"/>
      <c r="G171" s="179" t="s">
        <v>1043</v>
      </c>
    </row>
    <row r="172" spans="1:7" x14ac:dyDescent="0.25">
      <c r="A172" t="str">
        <f t="shared" si="2"/>
        <v>EL12</v>
      </c>
      <c r="B172" s="145">
        <v>125</v>
      </c>
      <c r="C172" s="145">
        <v>3014349</v>
      </c>
      <c r="D172" s="145" t="s">
        <v>838</v>
      </c>
      <c r="E172" s="145" t="s">
        <v>278</v>
      </c>
      <c r="F172" s="179"/>
      <c r="G172" s="179" t="s">
        <v>1042</v>
      </c>
    </row>
    <row r="173" spans="1:7" x14ac:dyDescent="0.25">
      <c r="A173" t="str">
        <f t="shared" si="2"/>
        <v>EL13</v>
      </c>
      <c r="B173" s="145">
        <v>126</v>
      </c>
      <c r="C173" s="145">
        <v>3015495</v>
      </c>
      <c r="D173" s="145" t="s">
        <v>839</v>
      </c>
      <c r="E173" s="145" t="s">
        <v>665</v>
      </c>
      <c r="F173" s="179"/>
      <c r="G173" s="179" t="s">
        <v>1041</v>
      </c>
    </row>
    <row r="174" spans="1:7" x14ac:dyDescent="0.25">
      <c r="A174" t="str">
        <f t="shared" si="2"/>
        <v>EL14</v>
      </c>
      <c r="B174" s="145">
        <v>127</v>
      </c>
      <c r="C174" s="145">
        <v>3016473</v>
      </c>
      <c r="D174" s="145" t="s">
        <v>840</v>
      </c>
      <c r="E174" s="145" t="s">
        <v>664</v>
      </c>
      <c r="F174" s="179"/>
      <c r="G174" s="179" t="s">
        <v>1040</v>
      </c>
    </row>
    <row r="175" spans="1:7" x14ac:dyDescent="0.25">
      <c r="A175" t="str">
        <f t="shared" si="2"/>
        <v>EL15</v>
      </c>
      <c r="B175" s="145">
        <v>128</v>
      </c>
      <c r="C175" s="145">
        <v>3016295</v>
      </c>
      <c r="D175" s="145" t="s">
        <v>841</v>
      </c>
      <c r="E175" s="145" t="s">
        <v>664</v>
      </c>
      <c r="F175" s="179"/>
      <c r="G175" s="179" t="s">
        <v>1039</v>
      </c>
    </row>
    <row r="176" spans="1:7" x14ac:dyDescent="0.25">
      <c r="A176" t="str">
        <f t="shared" si="2"/>
        <v>EL16</v>
      </c>
      <c r="B176" s="145">
        <v>129</v>
      </c>
      <c r="C176" s="145">
        <v>7536098</v>
      </c>
      <c r="D176" s="145" t="s">
        <v>842</v>
      </c>
      <c r="E176" s="145" t="s">
        <v>278</v>
      </c>
      <c r="F176" s="179"/>
      <c r="G176" s="179" t="s">
        <v>1038</v>
      </c>
    </row>
    <row r="177" spans="1:7" x14ac:dyDescent="0.25">
      <c r="A177" t="str">
        <f t="shared" si="2"/>
        <v>EL17</v>
      </c>
      <c r="B177" s="145">
        <v>130</v>
      </c>
      <c r="C177" s="145">
        <v>7529592</v>
      </c>
      <c r="D177" s="145" t="s">
        <v>843</v>
      </c>
      <c r="E177" s="145" t="s">
        <v>665</v>
      </c>
      <c r="F177" s="179"/>
      <c r="G177" s="179" t="s">
        <v>1037</v>
      </c>
    </row>
    <row r="178" spans="1:7" x14ac:dyDescent="0.25">
      <c r="A178" t="str">
        <f t="shared" si="2"/>
        <v>EL18</v>
      </c>
      <c r="B178" s="145">
        <v>130</v>
      </c>
      <c r="C178" s="145" t="s">
        <v>940</v>
      </c>
      <c r="D178" s="145" t="s">
        <v>691</v>
      </c>
      <c r="E178" s="145" t="s">
        <v>278</v>
      </c>
      <c r="F178" s="179"/>
      <c r="G178" s="179" t="s">
        <v>1036</v>
      </c>
    </row>
    <row r="179" spans="1:7" x14ac:dyDescent="0.25">
      <c r="A179" t="str">
        <f t="shared" si="2"/>
        <v>EL19</v>
      </c>
      <c r="B179" s="145">
        <v>131</v>
      </c>
      <c r="C179" s="145">
        <v>3014303</v>
      </c>
      <c r="D179" s="145" t="s">
        <v>844</v>
      </c>
      <c r="E179" s="145" t="s">
        <v>665</v>
      </c>
      <c r="F179" s="179"/>
      <c r="G179" s="179" t="s">
        <v>1035</v>
      </c>
    </row>
    <row r="180" spans="1:7" x14ac:dyDescent="0.25">
      <c r="A180" t="str">
        <f t="shared" si="2"/>
        <v>EL20</v>
      </c>
      <c r="B180" s="145">
        <v>132</v>
      </c>
      <c r="C180" s="145">
        <v>3015380</v>
      </c>
      <c r="D180" s="145" t="s">
        <v>845</v>
      </c>
      <c r="E180" s="145" t="s">
        <v>665</v>
      </c>
      <c r="F180" s="179"/>
      <c r="G180" s="179" t="s">
        <v>1034</v>
      </c>
    </row>
    <row r="181" spans="1:7" x14ac:dyDescent="0.25">
      <c r="A181" t="str">
        <f t="shared" si="2"/>
        <v>AR1</v>
      </c>
      <c r="B181" s="145">
        <v>132</v>
      </c>
      <c r="C181" s="145" t="s">
        <v>941</v>
      </c>
      <c r="D181" s="145" t="s">
        <v>692</v>
      </c>
      <c r="E181" s="145" t="s">
        <v>665</v>
      </c>
      <c r="F181" s="179"/>
      <c r="G181" s="179" t="s">
        <v>1233</v>
      </c>
    </row>
    <row r="182" spans="1:7" x14ac:dyDescent="0.25">
      <c r="A182" t="str">
        <f t="shared" si="2"/>
        <v>AR2</v>
      </c>
      <c r="B182" s="145">
        <v>133</v>
      </c>
      <c r="C182" s="145">
        <v>7534014</v>
      </c>
      <c r="D182" s="145" t="s">
        <v>846</v>
      </c>
      <c r="E182" s="145" t="s">
        <v>665</v>
      </c>
      <c r="F182" s="179"/>
      <c r="G182" s="179" t="s">
        <v>1232</v>
      </c>
    </row>
    <row r="183" spans="1:7" x14ac:dyDescent="0.25">
      <c r="A183" t="str">
        <f t="shared" si="2"/>
        <v>AR3</v>
      </c>
      <c r="B183" s="145">
        <v>134</v>
      </c>
      <c r="C183" s="145">
        <v>3015677</v>
      </c>
      <c r="D183" s="145" t="s">
        <v>847</v>
      </c>
      <c r="E183" s="145" t="s">
        <v>665</v>
      </c>
      <c r="F183" s="179"/>
      <c r="G183" s="179" t="s">
        <v>1231</v>
      </c>
    </row>
    <row r="184" spans="1:7" x14ac:dyDescent="0.25">
      <c r="A184" t="str">
        <f t="shared" si="2"/>
        <v>AR4</v>
      </c>
      <c r="B184" s="145">
        <v>135</v>
      </c>
      <c r="C184" s="145">
        <v>7538359</v>
      </c>
      <c r="D184" s="145" t="s">
        <v>848</v>
      </c>
      <c r="E184" s="145" t="s">
        <v>664</v>
      </c>
      <c r="F184" s="179"/>
      <c r="G184" s="179" t="s">
        <v>1230</v>
      </c>
    </row>
    <row r="185" spans="1:7" x14ac:dyDescent="0.25">
      <c r="A185" t="str">
        <f t="shared" si="2"/>
        <v>AR5</v>
      </c>
      <c r="B185" s="145">
        <v>136</v>
      </c>
      <c r="C185" s="145">
        <v>3017085</v>
      </c>
      <c r="D185" s="145" t="s">
        <v>849</v>
      </c>
      <c r="E185" s="145" t="s">
        <v>664</v>
      </c>
      <c r="F185" s="179"/>
      <c r="G185" s="179" t="s">
        <v>1229</v>
      </c>
    </row>
    <row r="186" spans="1:7" x14ac:dyDescent="0.25">
      <c r="A186" t="str">
        <f t="shared" si="2"/>
        <v>AR6</v>
      </c>
      <c r="B186" s="145">
        <v>136</v>
      </c>
      <c r="C186" s="145" t="s">
        <v>942</v>
      </c>
      <c r="D186" s="145" t="s">
        <v>693</v>
      </c>
      <c r="E186" s="145" t="s">
        <v>278</v>
      </c>
      <c r="F186" s="179"/>
      <c r="G186" s="179" t="s">
        <v>1228</v>
      </c>
    </row>
    <row r="187" spans="1:7" x14ac:dyDescent="0.25">
      <c r="A187" t="str">
        <f t="shared" si="2"/>
        <v>AR7</v>
      </c>
      <c r="B187" s="145">
        <v>137</v>
      </c>
      <c r="C187" s="145">
        <v>7536256</v>
      </c>
      <c r="D187" s="145" t="s">
        <v>850</v>
      </c>
      <c r="E187" s="145" t="s">
        <v>664</v>
      </c>
      <c r="F187" s="179"/>
      <c r="G187" s="179" t="s">
        <v>1227</v>
      </c>
    </row>
    <row r="188" spans="1:7" x14ac:dyDescent="0.25">
      <c r="A188" t="str">
        <f t="shared" si="2"/>
        <v>AR8</v>
      </c>
      <c r="B188" s="145">
        <v>137</v>
      </c>
      <c r="C188" s="145" t="s">
        <v>943</v>
      </c>
      <c r="D188" s="145" t="s">
        <v>694</v>
      </c>
      <c r="E188" s="145" t="s">
        <v>664</v>
      </c>
      <c r="F188" s="179"/>
      <c r="G188" s="179" t="s">
        <v>1226</v>
      </c>
    </row>
    <row r="189" spans="1:7" x14ac:dyDescent="0.25">
      <c r="A189" t="str">
        <f t="shared" si="2"/>
        <v>AR9</v>
      </c>
      <c r="B189" s="145">
        <v>138</v>
      </c>
      <c r="C189" s="145">
        <v>3017096</v>
      </c>
      <c r="D189" s="145" t="s">
        <v>851</v>
      </c>
      <c r="E189" s="145" t="s">
        <v>278</v>
      </c>
      <c r="F189" s="179"/>
      <c r="G189" s="179" t="s">
        <v>1225</v>
      </c>
    </row>
    <row r="190" spans="1:7" x14ac:dyDescent="0.25">
      <c r="A190" t="str">
        <f t="shared" si="2"/>
        <v>AR10</v>
      </c>
      <c r="B190" s="145">
        <v>139</v>
      </c>
      <c r="C190" s="145">
        <v>3017227</v>
      </c>
      <c r="D190" s="145" t="s">
        <v>852</v>
      </c>
      <c r="E190" s="145" t="s">
        <v>278</v>
      </c>
      <c r="F190" s="179"/>
      <c r="G190" s="179" t="s">
        <v>1224</v>
      </c>
    </row>
    <row r="191" spans="1:7" x14ac:dyDescent="0.25">
      <c r="A191" t="str">
        <f t="shared" si="2"/>
        <v>AR11</v>
      </c>
      <c r="B191" s="145">
        <v>140</v>
      </c>
      <c r="C191" s="145">
        <v>3015301</v>
      </c>
      <c r="D191" s="145" t="s">
        <v>853</v>
      </c>
      <c r="E191" s="145" t="s">
        <v>665</v>
      </c>
      <c r="F191" s="179"/>
      <c r="G191" s="179" t="s">
        <v>1223</v>
      </c>
    </row>
    <row r="192" spans="1:7" x14ac:dyDescent="0.25">
      <c r="A192" t="str">
        <f t="shared" si="2"/>
        <v>AR12</v>
      </c>
      <c r="B192" s="145">
        <v>140</v>
      </c>
      <c r="C192" s="145" t="s">
        <v>944</v>
      </c>
      <c r="D192" s="145" t="s">
        <v>945</v>
      </c>
      <c r="E192" s="145" t="s">
        <v>665</v>
      </c>
      <c r="F192" s="179"/>
      <c r="G192" s="179" t="s">
        <v>1222</v>
      </c>
    </row>
    <row r="193" spans="1:7" x14ac:dyDescent="0.25">
      <c r="A193" t="str">
        <f t="shared" si="2"/>
        <v>AR13</v>
      </c>
      <c r="B193" s="145">
        <v>141</v>
      </c>
      <c r="C193" s="145">
        <v>7537732</v>
      </c>
      <c r="D193" s="145" t="s">
        <v>854</v>
      </c>
      <c r="E193" s="145" t="s">
        <v>278</v>
      </c>
      <c r="F193" s="179"/>
      <c r="G193" s="179" t="s">
        <v>1221</v>
      </c>
    </row>
    <row r="194" spans="1:7" x14ac:dyDescent="0.25">
      <c r="A194" t="str">
        <f t="shared" si="2"/>
        <v>AR14</v>
      </c>
      <c r="B194" s="145">
        <v>142</v>
      </c>
      <c r="C194" s="145">
        <v>3016791</v>
      </c>
      <c r="D194" s="145" t="s">
        <v>855</v>
      </c>
      <c r="E194" s="145" t="s">
        <v>278</v>
      </c>
      <c r="F194" s="179"/>
      <c r="G194" s="179" t="s">
        <v>1220</v>
      </c>
    </row>
    <row r="195" spans="1:7" x14ac:dyDescent="0.25">
      <c r="A195" t="str">
        <f t="shared" ref="A195:A256" si="3">G195</f>
        <v>AR15</v>
      </c>
      <c r="B195" s="145">
        <v>142</v>
      </c>
      <c r="C195" s="145" t="s">
        <v>946</v>
      </c>
      <c r="D195" s="145" t="s">
        <v>696</v>
      </c>
      <c r="E195" s="145" t="s">
        <v>278</v>
      </c>
      <c r="F195" s="179"/>
      <c r="G195" s="179" t="s">
        <v>1219</v>
      </c>
    </row>
    <row r="196" spans="1:7" x14ac:dyDescent="0.25">
      <c r="A196" t="str">
        <f t="shared" si="3"/>
        <v>AR16</v>
      </c>
      <c r="B196" s="145">
        <v>143</v>
      </c>
      <c r="C196" s="145">
        <v>3016793</v>
      </c>
      <c r="D196" s="145" t="s">
        <v>979</v>
      </c>
      <c r="E196" s="145" t="s">
        <v>278</v>
      </c>
      <c r="F196" s="179" t="s">
        <v>980</v>
      </c>
      <c r="G196" s="179" t="s">
        <v>1218</v>
      </c>
    </row>
    <row r="197" spans="1:7" x14ac:dyDescent="0.25">
      <c r="A197" t="str">
        <f t="shared" si="3"/>
        <v>AR17</v>
      </c>
      <c r="B197" s="145">
        <v>144</v>
      </c>
      <c r="C197" s="145">
        <v>3016879</v>
      </c>
      <c r="D197" s="145" t="s">
        <v>856</v>
      </c>
      <c r="E197" s="145" t="s">
        <v>278</v>
      </c>
      <c r="F197" s="179"/>
      <c r="G197" s="179" t="s">
        <v>1217</v>
      </c>
    </row>
    <row r="198" spans="1:7" x14ac:dyDescent="0.25">
      <c r="A198" t="str">
        <f t="shared" si="3"/>
        <v>AR18</v>
      </c>
      <c r="B198" s="145">
        <v>144</v>
      </c>
      <c r="C198" s="145" t="s">
        <v>947</v>
      </c>
      <c r="D198" s="145" t="s">
        <v>697</v>
      </c>
      <c r="E198" s="145" t="s">
        <v>278</v>
      </c>
      <c r="F198" s="179"/>
      <c r="G198" s="179" t="s">
        <v>1216</v>
      </c>
    </row>
    <row r="199" spans="1:7" x14ac:dyDescent="0.25">
      <c r="A199" t="str">
        <f t="shared" si="3"/>
        <v>AR19</v>
      </c>
      <c r="B199" s="145">
        <v>145</v>
      </c>
      <c r="C199" s="145">
        <v>3016936</v>
      </c>
      <c r="D199" s="145" t="s">
        <v>857</v>
      </c>
      <c r="E199" s="145" t="s">
        <v>665</v>
      </c>
      <c r="F199" s="179"/>
      <c r="G199" s="179" t="s">
        <v>1215</v>
      </c>
    </row>
    <row r="200" spans="1:7" x14ac:dyDescent="0.25">
      <c r="A200" t="str">
        <f t="shared" si="3"/>
        <v>AR20</v>
      </c>
      <c r="B200" s="145">
        <v>145</v>
      </c>
      <c r="C200" s="145" t="s">
        <v>948</v>
      </c>
      <c r="D200" s="145" t="s">
        <v>949</v>
      </c>
      <c r="E200" s="145" t="s">
        <v>665</v>
      </c>
      <c r="F200" s="179"/>
      <c r="G200" s="179" t="s">
        <v>1214</v>
      </c>
    </row>
    <row r="201" spans="1:7" x14ac:dyDescent="0.25">
      <c r="A201" t="str">
        <f t="shared" si="3"/>
        <v>AL1</v>
      </c>
      <c r="B201" s="145">
        <v>146</v>
      </c>
      <c r="C201" s="145">
        <v>3016032</v>
      </c>
      <c r="D201" s="145" t="s">
        <v>858</v>
      </c>
      <c r="E201" s="145" t="s">
        <v>665</v>
      </c>
      <c r="F201" s="179"/>
      <c r="G201" s="179" t="s">
        <v>1213</v>
      </c>
    </row>
    <row r="202" spans="1:7" x14ac:dyDescent="0.25">
      <c r="A202" t="str">
        <f t="shared" si="3"/>
        <v>AL2</v>
      </c>
      <c r="B202" s="145">
        <v>146</v>
      </c>
      <c r="C202" s="145" t="s">
        <v>950</v>
      </c>
      <c r="D202" s="145" t="s">
        <v>699</v>
      </c>
      <c r="E202" s="145" t="s">
        <v>664</v>
      </c>
      <c r="F202" s="179"/>
      <c r="G202" s="179" t="s">
        <v>1212</v>
      </c>
    </row>
    <row r="203" spans="1:7" x14ac:dyDescent="0.25">
      <c r="A203" t="str">
        <f t="shared" si="3"/>
        <v>AL3</v>
      </c>
      <c r="B203" s="145">
        <v>147</v>
      </c>
      <c r="C203" s="145">
        <v>3016038</v>
      </c>
      <c r="D203" s="145" t="s">
        <v>859</v>
      </c>
      <c r="E203" s="145" t="s">
        <v>664</v>
      </c>
      <c r="F203" s="179" t="s">
        <v>987</v>
      </c>
      <c r="G203" s="179" t="s">
        <v>1211</v>
      </c>
    </row>
    <row r="204" spans="1:7" x14ac:dyDescent="0.25">
      <c r="A204" t="str">
        <f t="shared" si="3"/>
        <v>AL4</v>
      </c>
      <c r="B204" s="145">
        <v>147</v>
      </c>
      <c r="C204" s="145" t="s">
        <v>951</v>
      </c>
      <c r="D204" s="145" t="s">
        <v>700</v>
      </c>
      <c r="E204" s="145" t="s">
        <v>278</v>
      </c>
      <c r="F204" s="179"/>
      <c r="G204" s="179" t="s">
        <v>1210</v>
      </c>
    </row>
    <row r="205" spans="1:7" x14ac:dyDescent="0.25">
      <c r="A205" t="str">
        <f t="shared" si="3"/>
        <v>AL5</v>
      </c>
      <c r="B205" s="145">
        <v>148</v>
      </c>
      <c r="C205" s="145">
        <v>3017525</v>
      </c>
      <c r="D205" s="145" t="s">
        <v>860</v>
      </c>
      <c r="E205" s="145" t="s">
        <v>278</v>
      </c>
      <c r="F205" s="179"/>
      <c r="G205" s="179" t="s">
        <v>1209</v>
      </c>
    </row>
    <row r="206" spans="1:7" x14ac:dyDescent="0.25">
      <c r="A206" t="str">
        <f t="shared" si="3"/>
        <v>AL6</v>
      </c>
      <c r="B206" s="145">
        <v>148</v>
      </c>
      <c r="C206" s="145" t="s">
        <v>952</v>
      </c>
      <c r="D206" s="145" t="s">
        <v>701</v>
      </c>
      <c r="E206" s="145" t="s">
        <v>665</v>
      </c>
      <c r="F206" s="179"/>
      <c r="G206" s="179" t="s">
        <v>1208</v>
      </c>
    </row>
    <row r="207" spans="1:7" x14ac:dyDescent="0.25">
      <c r="A207" t="str">
        <f t="shared" si="3"/>
        <v>AL7</v>
      </c>
      <c r="B207" s="145">
        <v>149</v>
      </c>
      <c r="C207" s="145">
        <v>3017090</v>
      </c>
      <c r="D207" s="145" t="s">
        <v>861</v>
      </c>
      <c r="E207" s="145" t="s">
        <v>665</v>
      </c>
      <c r="F207" s="179"/>
      <c r="G207" s="179" t="s">
        <v>1207</v>
      </c>
    </row>
    <row r="208" spans="1:7" x14ac:dyDescent="0.25">
      <c r="A208" t="str">
        <f t="shared" si="3"/>
        <v>AL8</v>
      </c>
      <c r="B208" s="145">
        <v>149</v>
      </c>
      <c r="C208" s="145" t="s">
        <v>953</v>
      </c>
      <c r="D208" s="145" t="s">
        <v>702</v>
      </c>
      <c r="E208" s="145" t="s">
        <v>278</v>
      </c>
      <c r="F208" s="179"/>
      <c r="G208" s="179" t="s">
        <v>1206</v>
      </c>
    </row>
    <row r="209" spans="1:7" x14ac:dyDescent="0.25">
      <c r="A209" t="str">
        <f t="shared" si="3"/>
        <v>AL9</v>
      </c>
      <c r="B209" s="145">
        <v>150</v>
      </c>
      <c r="C209" s="145">
        <v>3017291</v>
      </c>
      <c r="D209" s="145" t="s">
        <v>862</v>
      </c>
      <c r="E209" s="145" t="s">
        <v>664</v>
      </c>
      <c r="F209" s="179"/>
      <c r="G209" s="179" t="s">
        <v>1205</v>
      </c>
    </row>
    <row r="210" spans="1:7" x14ac:dyDescent="0.25">
      <c r="A210" t="str">
        <f t="shared" si="3"/>
        <v>AL10</v>
      </c>
      <c r="B210" s="145">
        <v>151</v>
      </c>
      <c r="C210" s="145">
        <v>3017103</v>
      </c>
      <c r="D210" s="145" t="s">
        <v>863</v>
      </c>
      <c r="E210" s="145" t="s">
        <v>665</v>
      </c>
      <c r="F210" s="179" t="s">
        <v>981</v>
      </c>
      <c r="G210" s="179" t="s">
        <v>1204</v>
      </c>
    </row>
    <row r="211" spans="1:7" x14ac:dyDescent="0.25">
      <c r="A211" t="str">
        <f t="shared" si="3"/>
        <v>AL11</v>
      </c>
      <c r="B211" s="145">
        <v>152</v>
      </c>
      <c r="C211" s="145">
        <v>7532932</v>
      </c>
      <c r="D211" s="145" t="s">
        <v>864</v>
      </c>
      <c r="E211" s="145" t="s">
        <v>278</v>
      </c>
      <c r="F211" s="179"/>
      <c r="G211" s="179" t="s">
        <v>1203</v>
      </c>
    </row>
    <row r="212" spans="1:7" x14ac:dyDescent="0.25">
      <c r="A212" t="str">
        <f t="shared" si="3"/>
        <v>AL12</v>
      </c>
      <c r="B212" s="145">
        <v>153</v>
      </c>
      <c r="C212" s="145">
        <v>7536116</v>
      </c>
      <c r="D212" s="145" t="s">
        <v>865</v>
      </c>
      <c r="E212" s="145" t="s">
        <v>664</v>
      </c>
      <c r="F212" s="179"/>
      <c r="G212" s="179" t="s">
        <v>1202</v>
      </c>
    </row>
    <row r="213" spans="1:7" x14ac:dyDescent="0.25">
      <c r="A213" t="str">
        <f t="shared" si="3"/>
        <v>AL13</v>
      </c>
      <c r="B213" s="145">
        <v>154</v>
      </c>
      <c r="C213" s="145">
        <v>7537019</v>
      </c>
      <c r="D213" s="145" t="s">
        <v>866</v>
      </c>
      <c r="E213" s="145" t="s">
        <v>665</v>
      </c>
      <c r="F213" s="179"/>
      <c r="G213" s="179" t="s">
        <v>1201</v>
      </c>
    </row>
    <row r="214" spans="1:7" x14ac:dyDescent="0.25">
      <c r="A214" t="str">
        <f t="shared" si="3"/>
        <v>AL14</v>
      </c>
      <c r="B214" s="145">
        <v>154</v>
      </c>
      <c r="C214" s="145" t="s">
        <v>954</v>
      </c>
      <c r="D214" s="145" t="s">
        <v>955</v>
      </c>
      <c r="E214" s="145" t="s">
        <v>665</v>
      </c>
      <c r="F214" s="179"/>
      <c r="G214" s="179" t="s">
        <v>1200</v>
      </c>
    </row>
    <row r="215" spans="1:7" x14ac:dyDescent="0.25">
      <c r="A215" t="str">
        <f t="shared" si="3"/>
        <v>AL15</v>
      </c>
      <c r="B215" s="145">
        <v>155</v>
      </c>
      <c r="C215" s="145">
        <v>7536971</v>
      </c>
      <c r="D215" s="145" t="s">
        <v>867</v>
      </c>
      <c r="E215" s="145" t="s">
        <v>665</v>
      </c>
      <c r="F215" s="179"/>
      <c r="G215" s="179" t="s">
        <v>1199</v>
      </c>
    </row>
    <row r="216" spans="1:7" x14ac:dyDescent="0.25">
      <c r="A216" t="str">
        <f t="shared" si="3"/>
        <v>AL16</v>
      </c>
      <c r="B216" s="145">
        <v>155</v>
      </c>
      <c r="C216" s="145" t="s">
        <v>956</v>
      </c>
      <c r="D216" s="145" t="s">
        <v>549</v>
      </c>
      <c r="E216" s="145" t="s">
        <v>665</v>
      </c>
      <c r="F216" s="179"/>
      <c r="G216" s="179" t="s">
        <v>1198</v>
      </c>
    </row>
    <row r="217" spans="1:7" x14ac:dyDescent="0.25">
      <c r="A217" t="str">
        <f t="shared" si="3"/>
        <v>AL17</v>
      </c>
      <c r="B217" s="145">
        <v>156</v>
      </c>
      <c r="C217" s="145">
        <v>7537236</v>
      </c>
      <c r="D217" s="145" t="s">
        <v>868</v>
      </c>
      <c r="E217" s="145" t="s">
        <v>665</v>
      </c>
      <c r="F217" s="179"/>
      <c r="G217" s="179" t="s">
        <v>1197</v>
      </c>
    </row>
    <row r="218" spans="1:7" x14ac:dyDescent="0.25">
      <c r="A218" t="str">
        <f t="shared" si="3"/>
        <v>AL18</v>
      </c>
      <c r="B218" s="145">
        <v>156</v>
      </c>
      <c r="C218" s="145" t="s">
        <v>957</v>
      </c>
      <c r="D218" s="145" t="s">
        <v>556</v>
      </c>
      <c r="E218" s="145" t="s">
        <v>278</v>
      </c>
      <c r="F218" s="179"/>
      <c r="G218" s="179" t="s">
        <v>1196</v>
      </c>
    </row>
    <row r="219" spans="1:7" x14ac:dyDescent="0.25">
      <c r="A219" t="str">
        <f t="shared" si="3"/>
        <v>AL19</v>
      </c>
      <c r="B219" s="145">
        <v>157</v>
      </c>
      <c r="C219" s="145">
        <v>7536691</v>
      </c>
      <c r="D219" s="145" t="s">
        <v>659</v>
      </c>
      <c r="E219" s="145" t="s">
        <v>665</v>
      </c>
      <c r="F219" s="179" t="s">
        <v>982</v>
      </c>
      <c r="G219" s="179" t="s">
        <v>1195</v>
      </c>
    </row>
    <row r="220" spans="1:7" x14ac:dyDescent="0.25">
      <c r="A220" t="str">
        <f t="shared" si="3"/>
        <v>AL20</v>
      </c>
      <c r="B220" s="145">
        <v>157</v>
      </c>
      <c r="C220" s="145" t="s">
        <v>958</v>
      </c>
      <c r="D220" s="145" t="s">
        <v>704</v>
      </c>
      <c r="E220" s="145" t="s">
        <v>278</v>
      </c>
      <c r="F220" s="179"/>
      <c r="G220" s="179" t="s">
        <v>1194</v>
      </c>
    </row>
    <row r="221" spans="1:7" x14ac:dyDescent="0.25">
      <c r="A221" t="str">
        <f t="shared" si="3"/>
        <v>FR1</v>
      </c>
      <c r="B221" s="145">
        <v>158</v>
      </c>
      <c r="C221" s="145">
        <v>3016247</v>
      </c>
      <c r="D221" s="145" t="s">
        <v>658</v>
      </c>
      <c r="E221" s="145" t="s">
        <v>665</v>
      </c>
      <c r="F221" s="179" t="s">
        <v>983</v>
      </c>
      <c r="G221" s="179" t="s">
        <v>1033</v>
      </c>
    </row>
    <row r="222" spans="1:7" x14ac:dyDescent="0.25">
      <c r="A222" t="str">
        <f t="shared" si="3"/>
        <v>FR2</v>
      </c>
      <c r="B222" s="145">
        <v>158</v>
      </c>
      <c r="C222" s="145" t="s">
        <v>959</v>
      </c>
      <c r="D222" s="145" t="s">
        <v>626</v>
      </c>
      <c r="E222" s="145" t="s">
        <v>278</v>
      </c>
      <c r="F222" s="179"/>
      <c r="G222" s="179" t="s">
        <v>1032</v>
      </c>
    </row>
    <row r="223" spans="1:7" x14ac:dyDescent="0.25">
      <c r="A223" t="str">
        <f t="shared" si="3"/>
        <v>FR3</v>
      </c>
      <c r="B223" s="145">
        <v>159</v>
      </c>
      <c r="C223" s="145">
        <v>3017729</v>
      </c>
      <c r="D223" s="145" t="s">
        <v>654</v>
      </c>
      <c r="E223" s="145" t="s">
        <v>665</v>
      </c>
      <c r="F223" s="179" t="s">
        <v>988</v>
      </c>
      <c r="G223" s="179" t="s">
        <v>1031</v>
      </c>
    </row>
    <row r="224" spans="1:7" x14ac:dyDescent="0.25">
      <c r="A224" t="str">
        <f t="shared" si="3"/>
        <v>FR4</v>
      </c>
      <c r="B224" s="145">
        <v>159</v>
      </c>
      <c r="C224" s="145" t="s">
        <v>960</v>
      </c>
      <c r="D224" s="145" t="s">
        <v>705</v>
      </c>
      <c r="E224" s="145" t="s">
        <v>278</v>
      </c>
      <c r="F224" s="179"/>
      <c r="G224" s="179" t="s">
        <v>1030</v>
      </c>
    </row>
    <row r="225" spans="1:7" x14ac:dyDescent="0.25">
      <c r="A225" t="str">
        <f t="shared" si="3"/>
        <v>FR5</v>
      </c>
      <c r="B225" s="145">
        <v>160</v>
      </c>
      <c r="C225" s="145">
        <v>3017504</v>
      </c>
      <c r="D225" s="145" t="s">
        <v>657</v>
      </c>
      <c r="E225" s="145" t="s">
        <v>665</v>
      </c>
      <c r="F225" s="179" t="s">
        <v>984</v>
      </c>
      <c r="G225" s="179" t="s">
        <v>1029</v>
      </c>
    </row>
    <row r="226" spans="1:7" x14ac:dyDescent="0.25">
      <c r="A226" t="str">
        <f t="shared" si="3"/>
        <v>FR6</v>
      </c>
      <c r="B226" s="145">
        <v>160</v>
      </c>
      <c r="C226" s="145" t="s">
        <v>961</v>
      </c>
      <c r="D226" s="145" t="s">
        <v>706</v>
      </c>
      <c r="E226" s="145" t="s">
        <v>664</v>
      </c>
      <c r="F226" s="179"/>
      <c r="G226" s="179" t="s">
        <v>1028</v>
      </c>
    </row>
    <row r="227" spans="1:7" x14ac:dyDescent="0.25">
      <c r="A227" t="str">
        <f t="shared" si="3"/>
        <v>FR7</v>
      </c>
      <c r="B227" s="145">
        <v>161</v>
      </c>
      <c r="C227" s="145">
        <v>3017752</v>
      </c>
      <c r="D227" s="145" t="s">
        <v>869</v>
      </c>
      <c r="E227" s="145" t="s">
        <v>665</v>
      </c>
      <c r="F227" s="179"/>
      <c r="G227" s="179" t="s">
        <v>1027</v>
      </c>
    </row>
    <row r="228" spans="1:7" x14ac:dyDescent="0.25">
      <c r="A228" t="str">
        <f t="shared" si="3"/>
        <v>FR8</v>
      </c>
      <c r="B228" s="145">
        <v>161</v>
      </c>
      <c r="C228" s="145" t="s">
        <v>962</v>
      </c>
      <c r="D228" s="145" t="s">
        <v>707</v>
      </c>
      <c r="E228" s="145" t="s">
        <v>278</v>
      </c>
      <c r="F228" s="179"/>
      <c r="G228" s="179" t="s">
        <v>1026</v>
      </c>
    </row>
    <row r="229" spans="1:7" x14ac:dyDescent="0.25">
      <c r="A229" t="str">
        <f t="shared" si="3"/>
        <v>FR9</v>
      </c>
      <c r="B229" s="145">
        <v>162</v>
      </c>
      <c r="C229" s="145">
        <v>3017553</v>
      </c>
      <c r="D229" s="145" t="s">
        <v>656</v>
      </c>
      <c r="E229" s="145" t="s">
        <v>278</v>
      </c>
      <c r="F229" s="179" t="s">
        <v>985</v>
      </c>
      <c r="G229" s="179" t="s">
        <v>1025</v>
      </c>
    </row>
    <row r="230" spans="1:7" x14ac:dyDescent="0.25">
      <c r="A230" t="str">
        <f t="shared" si="3"/>
        <v>FR10</v>
      </c>
      <c r="B230" s="145">
        <v>162</v>
      </c>
      <c r="C230" s="145" t="s">
        <v>963</v>
      </c>
      <c r="D230" s="145" t="s">
        <v>964</v>
      </c>
      <c r="E230" s="145" t="s">
        <v>664</v>
      </c>
      <c r="F230" s="179"/>
      <c r="G230" s="179" t="s">
        <v>1024</v>
      </c>
    </row>
    <row r="231" spans="1:7" x14ac:dyDescent="0.25">
      <c r="A231" t="str">
        <f t="shared" si="3"/>
        <v>FR11</v>
      </c>
      <c r="B231" s="145">
        <v>163</v>
      </c>
      <c r="C231" s="145">
        <v>3015304</v>
      </c>
      <c r="D231" s="145" t="s">
        <v>870</v>
      </c>
      <c r="E231" s="145" t="s">
        <v>278</v>
      </c>
      <c r="F231" s="179"/>
      <c r="G231" s="179" t="s">
        <v>1023</v>
      </c>
    </row>
    <row r="232" spans="1:7" x14ac:dyDescent="0.25">
      <c r="A232" t="str">
        <f t="shared" si="3"/>
        <v>FR12</v>
      </c>
      <c r="B232" s="145">
        <v>164</v>
      </c>
      <c r="C232" s="145">
        <v>3017707</v>
      </c>
      <c r="D232" s="145" t="s">
        <v>653</v>
      </c>
      <c r="E232" s="145" t="s">
        <v>665</v>
      </c>
      <c r="F232" s="179" t="s">
        <v>989</v>
      </c>
      <c r="G232" s="179" t="s">
        <v>1022</v>
      </c>
    </row>
    <row r="233" spans="1:7" x14ac:dyDescent="0.25">
      <c r="A233" t="str">
        <f t="shared" si="3"/>
        <v>FR13</v>
      </c>
      <c r="B233" s="145">
        <v>165</v>
      </c>
      <c r="C233" s="145">
        <v>7539364</v>
      </c>
      <c r="D233" s="145" t="s">
        <v>871</v>
      </c>
      <c r="E233" s="145" t="s">
        <v>665</v>
      </c>
      <c r="F233" s="179"/>
      <c r="G233" s="179" t="s">
        <v>1021</v>
      </c>
    </row>
    <row r="234" spans="1:7" x14ac:dyDescent="0.25">
      <c r="A234" t="str">
        <f t="shared" si="3"/>
        <v>FR14</v>
      </c>
      <c r="B234" s="145">
        <v>165</v>
      </c>
      <c r="C234" s="145" t="s">
        <v>965</v>
      </c>
      <c r="D234" s="145" t="s">
        <v>709</v>
      </c>
      <c r="E234" s="145" t="s">
        <v>665</v>
      </c>
      <c r="F234" s="179"/>
      <c r="G234" s="179" t="s">
        <v>1020</v>
      </c>
    </row>
    <row r="235" spans="1:7" x14ac:dyDescent="0.25">
      <c r="A235" t="str">
        <f t="shared" si="3"/>
        <v>FR15</v>
      </c>
      <c r="B235" s="145">
        <v>166</v>
      </c>
      <c r="C235" s="145">
        <v>7538168</v>
      </c>
      <c r="D235" s="145" t="s">
        <v>872</v>
      </c>
      <c r="E235" s="145" t="s">
        <v>664</v>
      </c>
      <c r="F235" s="179"/>
      <c r="G235" s="179" t="s">
        <v>1019</v>
      </c>
    </row>
    <row r="236" spans="1:7" x14ac:dyDescent="0.25">
      <c r="A236" t="str">
        <f t="shared" si="3"/>
        <v>FR16</v>
      </c>
      <c r="B236" s="145">
        <v>166</v>
      </c>
      <c r="C236" s="145" t="s">
        <v>966</v>
      </c>
      <c r="D236" s="145" t="s">
        <v>710</v>
      </c>
      <c r="E236" s="145" t="s">
        <v>664</v>
      </c>
      <c r="F236" s="179"/>
      <c r="G236" s="179" t="s">
        <v>1018</v>
      </c>
    </row>
    <row r="237" spans="1:7" x14ac:dyDescent="0.25">
      <c r="A237" t="str">
        <f t="shared" si="3"/>
        <v>FR17</v>
      </c>
      <c r="B237" s="145">
        <v>167</v>
      </c>
      <c r="C237" s="145">
        <v>7538166</v>
      </c>
      <c r="D237" s="145" t="s">
        <v>655</v>
      </c>
      <c r="E237" s="145" t="s">
        <v>278</v>
      </c>
      <c r="F237" s="179" t="s">
        <v>990</v>
      </c>
      <c r="G237" s="179" t="s">
        <v>1017</v>
      </c>
    </row>
    <row r="238" spans="1:7" x14ac:dyDescent="0.25">
      <c r="A238" t="str">
        <f t="shared" si="3"/>
        <v>FR18</v>
      </c>
      <c r="B238" s="145">
        <v>167</v>
      </c>
      <c r="C238" s="145" t="s">
        <v>967</v>
      </c>
      <c r="D238" s="145" t="s">
        <v>711</v>
      </c>
      <c r="E238" s="145" t="s">
        <v>664</v>
      </c>
      <c r="F238" s="179"/>
      <c r="G238" s="179" t="s">
        <v>1016</v>
      </c>
    </row>
    <row r="239" spans="1:7" x14ac:dyDescent="0.25">
      <c r="A239" t="str">
        <f t="shared" si="3"/>
        <v>FR19</v>
      </c>
      <c r="B239" s="145">
        <v>168</v>
      </c>
      <c r="C239" s="145">
        <v>7537221</v>
      </c>
      <c r="D239" s="145" t="s">
        <v>873</v>
      </c>
      <c r="E239" s="145" t="s">
        <v>664</v>
      </c>
      <c r="F239" s="179"/>
      <c r="G239" s="179" t="s">
        <v>1015</v>
      </c>
    </row>
    <row r="240" spans="1:7" x14ac:dyDescent="0.25">
      <c r="A240" t="str">
        <f t="shared" si="3"/>
        <v>FR20</v>
      </c>
      <c r="B240" s="145">
        <v>168</v>
      </c>
      <c r="C240" s="145" t="s">
        <v>968</v>
      </c>
      <c r="D240" s="145" t="s">
        <v>632</v>
      </c>
      <c r="E240" s="145" t="s">
        <v>665</v>
      </c>
      <c r="F240" s="179"/>
      <c r="G240" s="179" t="s">
        <v>1014</v>
      </c>
    </row>
    <row r="241" spans="1:7" x14ac:dyDescent="0.25">
      <c r="A241" t="str">
        <f t="shared" si="3"/>
        <v>FL1</v>
      </c>
      <c r="B241" s="145">
        <v>169</v>
      </c>
      <c r="C241" s="145">
        <v>7541401</v>
      </c>
      <c r="D241" s="145" t="s">
        <v>874</v>
      </c>
      <c r="E241" s="145" t="s">
        <v>665</v>
      </c>
      <c r="F241" s="179"/>
      <c r="G241" s="179" t="s">
        <v>1013</v>
      </c>
    </row>
    <row r="242" spans="1:7" x14ac:dyDescent="0.25">
      <c r="A242" t="str">
        <f t="shared" si="3"/>
        <v>FL2</v>
      </c>
      <c r="B242" s="145">
        <v>169</v>
      </c>
      <c r="C242" s="145" t="s">
        <v>969</v>
      </c>
      <c r="D242" s="145" t="s">
        <v>634</v>
      </c>
      <c r="E242" s="145" t="s">
        <v>665</v>
      </c>
      <c r="F242" s="179"/>
      <c r="G242" s="179" t="s">
        <v>1012</v>
      </c>
    </row>
    <row r="243" spans="1:7" x14ac:dyDescent="0.25">
      <c r="A243" t="str">
        <f t="shared" si="3"/>
        <v>FL3</v>
      </c>
      <c r="B243" s="145">
        <v>170</v>
      </c>
      <c r="C243" s="145">
        <v>7539350</v>
      </c>
      <c r="D243" s="145" t="s">
        <v>875</v>
      </c>
      <c r="E243" s="145" t="s">
        <v>665</v>
      </c>
      <c r="F243" s="179"/>
      <c r="G243" s="179" t="s">
        <v>1011</v>
      </c>
    </row>
    <row r="244" spans="1:7" x14ac:dyDescent="0.25">
      <c r="A244" t="str">
        <f t="shared" si="3"/>
        <v>FL4</v>
      </c>
      <c r="B244" s="145">
        <v>170</v>
      </c>
      <c r="C244" s="145" t="s">
        <v>970</v>
      </c>
      <c r="D244" s="145" t="s">
        <v>712</v>
      </c>
      <c r="E244" s="145" t="s">
        <v>665</v>
      </c>
      <c r="F244" s="179"/>
      <c r="G244" s="179" t="s">
        <v>1010</v>
      </c>
    </row>
    <row r="245" spans="1:7" x14ac:dyDescent="0.25">
      <c r="A245" t="str">
        <f t="shared" si="3"/>
        <v>FL5</v>
      </c>
      <c r="B245" s="145">
        <v>171</v>
      </c>
      <c r="C245" s="145">
        <v>7540139</v>
      </c>
      <c r="D245" s="145" t="s">
        <v>876</v>
      </c>
      <c r="E245" s="145" t="s">
        <v>664</v>
      </c>
      <c r="F245" s="179"/>
      <c r="G245" s="179" t="s">
        <v>1009</v>
      </c>
    </row>
    <row r="246" spans="1:7" x14ac:dyDescent="0.25">
      <c r="A246" t="str">
        <f t="shared" si="3"/>
        <v>FL6</v>
      </c>
      <c r="B246" s="145">
        <v>171</v>
      </c>
      <c r="C246" s="145" t="s">
        <v>971</v>
      </c>
      <c r="D246" s="145" t="s">
        <v>713</v>
      </c>
      <c r="E246" s="145" t="s">
        <v>665</v>
      </c>
      <c r="F246" s="179"/>
      <c r="G246" s="179" t="s">
        <v>1008</v>
      </c>
    </row>
    <row r="247" spans="1:7" x14ac:dyDescent="0.25">
      <c r="A247" t="str">
        <f t="shared" si="3"/>
        <v>FL7</v>
      </c>
      <c r="B247" s="145">
        <v>172</v>
      </c>
      <c r="C247" s="145">
        <v>3017957</v>
      </c>
      <c r="D247" s="145" t="s">
        <v>877</v>
      </c>
      <c r="E247" s="145" t="s">
        <v>665</v>
      </c>
      <c r="F247" s="179" t="s">
        <v>991</v>
      </c>
      <c r="G247" s="179" t="s">
        <v>1007</v>
      </c>
    </row>
    <row r="248" spans="1:7" x14ac:dyDescent="0.25">
      <c r="A248" t="str">
        <f t="shared" si="3"/>
        <v>FL8</v>
      </c>
      <c r="B248" s="145">
        <v>172</v>
      </c>
      <c r="C248" s="145" t="s">
        <v>972</v>
      </c>
      <c r="D248" s="145" t="s">
        <v>714</v>
      </c>
      <c r="E248" s="145" t="s">
        <v>664</v>
      </c>
      <c r="F248" s="179"/>
      <c r="G248" s="179" t="s">
        <v>1006</v>
      </c>
    </row>
    <row r="249" spans="1:7" x14ac:dyDescent="0.25">
      <c r="A249" t="str">
        <f t="shared" si="3"/>
        <v>FL9</v>
      </c>
      <c r="B249" s="145">
        <v>173</v>
      </c>
      <c r="C249" s="145">
        <v>3017984</v>
      </c>
      <c r="D249" s="145" t="s">
        <v>878</v>
      </c>
      <c r="E249" s="145" t="s">
        <v>665</v>
      </c>
      <c r="F249" s="179" t="s">
        <v>992</v>
      </c>
      <c r="G249" s="179" t="s">
        <v>1005</v>
      </c>
    </row>
    <row r="250" spans="1:7" x14ac:dyDescent="0.25">
      <c r="A250" t="str">
        <f t="shared" si="3"/>
        <v>FL10</v>
      </c>
      <c r="B250" s="145">
        <v>173</v>
      </c>
      <c r="C250" s="145" t="s">
        <v>973</v>
      </c>
      <c r="D250" s="145" t="s">
        <v>715</v>
      </c>
      <c r="E250" s="145" t="s">
        <v>664</v>
      </c>
      <c r="F250" s="179"/>
      <c r="G250" s="179" t="s">
        <v>1004</v>
      </c>
    </row>
    <row r="251" spans="1:7" x14ac:dyDescent="0.25">
      <c r="A251" t="str">
        <f t="shared" si="3"/>
        <v>FL11</v>
      </c>
      <c r="B251" s="145">
        <v>174</v>
      </c>
      <c r="C251" s="145">
        <v>3017988</v>
      </c>
      <c r="D251" s="145" t="s">
        <v>879</v>
      </c>
      <c r="E251" s="145" t="s">
        <v>665</v>
      </c>
      <c r="F251" s="179" t="s">
        <v>986</v>
      </c>
      <c r="G251" s="179" t="s">
        <v>1003</v>
      </c>
    </row>
    <row r="252" spans="1:7" x14ac:dyDescent="0.25">
      <c r="A252" t="str">
        <f t="shared" si="3"/>
        <v>FL12</v>
      </c>
      <c r="B252" s="145">
        <v>174</v>
      </c>
      <c r="C252" s="145" t="s">
        <v>974</v>
      </c>
      <c r="D252" s="145" t="s">
        <v>716</v>
      </c>
      <c r="E252" s="145" t="s">
        <v>664</v>
      </c>
      <c r="F252" s="179"/>
      <c r="G252" s="179" t="s">
        <v>1002</v>
      </c>
    </row>
    <row r="253" spans="1:7" x14ac:dyDescent="0.25">
      <c r="A253" t="str">
        <f t="shared" si="3"/>
        <v>FL13</v>
      </c>
      <c r="B253" s="145">
        <v>175</v>
      </c>
      <c r="C253" s="145">
        <v>3018074</v>
      </c>
      <c r="D253" s="145" t="s">
        <v>880</v>
      </c>
      <c r="E253" s="145" t="s">
        <v>664</v>
      </c>
      <c r="F253" s="179" t="s">
        <v>993</v>
      </c>
      <c r="G253" s="179" t="s">
        <v>1001</v>
      </c>
    </row>
    <row r="254" spans="1:7" x14ac:dyDescent="0.25">
      <c r="A254" t="str">
        <f t="shared" si="3"/>
        <v>FL14</v>
      </c>
      <c r="B254" s="145">
        <v>175</v>
      </c>
      <c r="C254" s="145" t="s">
        <v>975</v>
      </c>
      <c r="D254" s="145" t="s">
        <v>717</v>
      </c>
      <c r="E254" s="145" t="s">
        <v>664</v>
      </c>
      <c r="F254" s="179"/>
      <c r="G254" s="179" t="s">
        <v>1000</v>
      </c>
    </row>
    <row r="255" spans="1:7" x14ac:dyDescent="0.25">
      <c r="A255" t="str">
        <f t="shared" si="3"/>
        <v>FL15</v>
      </c>
      <c r="B255" s="145">
        <v>176</v>
      </c>
      <c r="C255" s="145">
        <v>3018094</v>
      </c>
      <c r="D255" s="145" t="s">
        <v>881</v>
      </c>
      <c r="E255" s="145" t="s">
        <v>664</v>
      </c>
      <c r="F255" s="179" t="s">
        <v>661</v>
      </c>
      <c r="G255" s="179" t="s">
        <v>999</v>
      </c>
    </row>
    <row r="256" spans="1:7" x14ac:dyDescent="0.25">
      <c r="A256" t="str">
        <f t="shared" si="3"/>
        <v>FL16</v>
      </c>
      <c r="B256" s="145">
        <v>176</v>
      </c>
      <c r="C256" s="145" t="s">
        <v>976</v>
      </c>
      <c r="D256" s="145" t="s">
        <v>660</v>
      </c>
      <c r="E256" s="145" t="s">
        <v>665</v>
      </c>
      <c r="F256" s="179"/>
      <c r="G256" s="179" t="s">
        <v>998</v>
      </c>
    </row>
  </sheetData>
  <sortState xmlns:xlrd2="http://schemas.microsoft.com/office/spreadsheetml/2017/richdata2" ref="B3:E256">
    <sortCondition ref="B3:B256"/>
    <sortCondition ref="C3:C256"/>
  </sortState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C214-A590-4411-AA17-9D99614776D2}">
  <sheetPr>
    <tabColor rgb="FFFFFF00"/>
  </sheetPr>
  <dimension ref="A1:V185"/>
  <sheetViews>
    <sheetView topLeftCell="A150" zoomScale="77" zoomScaleNormal="77" workbookViewId="0">
      <selection activeCell="E17" sqref="E17"/>
    </sheetView>
  </sheetViews>
  <sheetFormatPr defaultRowHeight="13.2" x14ac:dyDescent="0.25"/>
  <cols>
    <col min="1" max="1" width="7" customWidth="1"/>
    <col min="2" max="2" width="13" customWidth="1"/>
    <col min="3" max="3" width="13.6640625" customWidth="1"/>
    <col min="4" max="4" width="41" customWidth="1"/>
    <col min="5" max="5" width="26.109375" customWidth="1"/>
    <col min="6" max="6" width="28" customWidth="1"/>
    <col min="10" max="10" width="11.33203125" customWidth="1"/>
    <col min="14" max="14" width="48.5546875" customWidth="1"/>
    <col min="16" max="16" width="11.6640625" customWidth="1"/>
    <col min="18" max="18" width="26.5546875" customWidth="1"/>
    <col min="22" max="22" width="7.88671875" customWidth="1"/>
  </cols>
  <sheetData>
    <row r="1" spans="1:22" ht="14.4" x14ac:dyDescent="0.25">
      <c r="A1" s="2"/>
      <c r="B1" s="1"/>
      <c r="C1" s="1"/>
      <c r="D1" s="3"/>
      <c r="E1" s="3"/>
      <c r="F1" s="1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7"/>
      <c r="S1" s="2"/>
      <c r="T1" s="2"/>
      <c r="U1" s="2"/>
      <c r="V1" s="2"/>
    </row>
    <row r="2" spans="1:22" ht="23.4" x14ac:dyDescent="0.25">
      <c r="A2" s="212" t="s">
        <v>651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3"/>
      <c r="O2" s="212"/>
      <c r="P2" s="212"/>
      <c r="Q2" s="212"/>
      <c r="R2" s="212"/>
      <c r="S2" s="212"/>
      <c r="T2" s="212"/>
      <c r="U2" s="212"/>
      <c r="V2" s="212"/>
    </row>
    <row r="3" spans="1:22" x14ac:dyDescent="0.25">
      <c r="A3" s="207" t="s">
        <v>260</v>
      </c>
      <c r="B3" s="207" t="s">
        <v>259</v>
      </c>
      <c r="C3" s="207" t="s">
        <v>258</v>
      </c>
      <c r="D3" s="207" t="s">
        <v>257</v>
      </c>
      <c r="E3" s="207" t="s">
        <v>256</v>
      </c>
      <c r="F3" s="207" t="s">
        <v>255</v>
      </c>
      <c r="G3" s="208" t="s">
        <v>590</v>
      </c>
      <c r="H3" s="246"/>
      <c r="I3" s="214" t="s">
        <v>274</v>
      </c>
      <c r="J3" s="209"/>
      <c r="K3" s="209"/>
      <c r="L3" s="214" t="s">
        <v>285</v>
      </c>
      <c r="M3" s="248"/>
      <c r="N3" s="207" t="s">
        <v>275</v>
      </c>
      <c r="O3" s="208" t="s">
        <v>274</v>
      </c>
      <c r="P3" s="209"/>
      <c r="Q3" s="209"/>
      <c r="R3" s="250" t="s">
        <v>512</v>
      </c>
      <c r="S3" s="241" t="s">
        <v>446</v>
      </c>
      <c r="T3" s="242"/>
      <c r="U3" s="242"/>
      <c r="V3" s="243"/>
    </row>
    <row r="4" spans="1:22" x14ac:dyDescent="0.25">
      <c r="A4" s="207"/>
      <c r="B4" s="207"/>
      <c r="C4" s="207"/>
      <c r="D4" s="207"/>
      <c r="E4" s="207"/>
      <c r="F4" s="207"/>
      <c r="G4" s="210"/>
      <c r="H4" s="247"/>
      <c r="I4" s="215"/>
      <c r="J4" s="211"/>
      <c r="K4" s="211"/>
      <c r="L4" s="215"/>
      <c r="M4" s="249"/>
      <c r="N4" s="207"/>
      <c r="O4" s="210"/>
      <c r="P4" s="211"/>
      <c r="Q4" s="211"/>
      <c r="R4" s="250"/>
      <c r="S4" s="244" t="s">
        <v>427</v>
      </c>
      <c r="T4" s="245"/>
      <c r="U4" s="243" t="s">
        <v>275</v>
      </c>
      <c r="V4" s="207"/>
    </row>
    <row r="5" spans="1:22" ht="26.4" x14ac:dyDescent="0.25">
      <c r="A5" s="207"/>
      <c r="B5" s="207"/>
      <c r="C5" s="207"/>
      <c r="D5" s="207"/>
      <c r="E5" s="207"/>
      <c r="F5" s="207"/>
      <c r="G5" s="8" t="s">
        <v>279</v>
      </c>
      <c r="H5" s="11" t="s">
        <v>280</v>
      </c>
      <c r="I5" s="10" t="s">
        <v>276</v>
      </c>
      <c r="J5" s="8" t="s">
        <v>277</v>
      </c>
      <c r="K5" s="47" t="s">
        <v>278</v>
      </c>
      <c r="L5" s="10" t="s">
        <v>279</v>
      </c>
      <c r="M5" s="8" t="s">
        <v>280</v>
      </c>
      <c r="N5" s="207"/>
      <c r="O5" s="8" t="s">
        <v>276</v>
      </c>
      <c r="P5" s="8" t="s">
        <v>277</v>
      </c>
      <c r="Q5" s="47" t="s">
        <v>278</v>
      </c>
      <c r="R5" s="250"/>
      <c r="S5" s="10" t="s">
        <v>282</v>
      </c>
      <c r="T5" s="12" t="s">
        <v>283</v>
      </c>
      <c r="U5" s="9" t="s">
        <v>282</v>
      </c>
      <c r="V5" s="13" t="s">
        <v>283</v>
      </c>
    </row>
    <row r="6" spans="1:22" x14ac:dyDescent="0.25">
      <c r="A6" s="14" t="s">
        <v>254</v>
      </c>
      <c r="B6" s="14" t="s">
        <v>253</v>
      </c>
      <c r="C6" s="14" t="s">
        <v>252</v>
      </c>
      <c r="D6" s="14" t="s">
        <v>251</v>
      </c>
      <c r="E6" s="14" t="s">
        <v>281</v>
      </c>
      <c r="F6" s="14" t="s">
        <v>250</v>
      </c>
      <c r="G6" s="14" t="s">
        <v>249</v>
      </c>
      <c r="H6" s="15" t="s">
        <v>248</v>
      </c>
      <c r="I6" s="204" t="s">
        <v>247</v>
      </c>
      <c r="J6" s="205"/>
      <c r="K6" s="206"/>
      <c r="L6" s="46" t="s">
        <v>246</v>
      </c>
      <c r="M6" s="14" t="s">
        <v>245</v>
      </c>
      <c r="N6" s="14" t="s">
        <v>284</v>
      </c>
      <c r="O6" s="205" t="s">
        <v>318</v>
      </c>
      <c r="P6" s="205"/>
      <c r="Q6" s="206"/>
      <c r="R6" s="48" t="s">
        <v>319</v>
      </c>
      <c r="S6" s="223" t="s">
        <v>428</v>
      </c>
      <c r="T6" s="224"/>
      <c r="U6" s="224"/>
      <c r="V6" s="225"/>
    </row>
    <row r="7" spans="1:22" ht="38.25" customHeight="1" x14ac:dyDescent="0.25">
      <c r="A7" s="146">
        <v>1</v>
      </c>
      <c r="B7" s="226" t="s">
        <v>608</v>
      </c>
      <c r="C7" s="227"/>
      <c r="D7" s="228"/>
      <c r="E7" s="235" t="s">
        <v>609</v>
      </c>
      <c r="F7" s="236"/>
      <c r="G7" s="147">
        <v>1</v>
      </c>
      <c r="H7" s="148"/>
      <c r="I7" s="149"/>
      <c r="J7" s="147">
        <v>1</v>
      </c>
      <c r="K7" s="150"/>
      <c r="L7" s="149">
        <v>1</v>
      </c>
      <c r="M7" s="147"/>
      <c r="N7" s="151" t="s">
        <v>610</v>
      </c>
      <c r="O7" s="147">
        <v>1</v>
      </c>
      <c r="P7" s="147"/>
      <c r="Q7" s="150"/>
      <c r="R7" s="152"/>
      <c r="S7" s="153">
        <v>1</v>
      </c>
      <c r="T7" s="148"/>
      <c r="U7" s="154"/>
      <c r="V7" s="147">
        <v>1</v>
      </c>
    </row>
    <row r="8" spans="1:22" ht="32.25" customHeight="1" x14ac:dyDescent="0.25">
      <c r="A8" s="146">
        <v>2</v>
      </c>
      <c r="B8" s="229"/>
      <c r="C8" s="230"/>
      <c r="D8" s="231"/>
      <c r="E8" s="237"/>
      <c r="F8" s="238"/>
      <c r="G8" s="147"/>
      <c r="H8" s="148"/>
      <c r="I8" s="149"/>
      <c r="J8" s="147"/>
      <c r="K8" s="150"/>
      <c r="L8" s="149">
        <v>1</v>
      </c>
      <c r="M8" s="147"/>
      <c r="N8" s="151" t="s">
        <v>611</v>
      </c>
      <c r="O8" s="147"/>
      <c r="P8" s="147"/>
      <c r="Q8" s="150">
        <v>1</v>
      </c>
      <c r="R8" s="152"/>
      <c r="S8" s="153"/>
      <c r="T8" s="148"/>
      <c r="U8" s="154"/>
      <c r="V8" s="147">
        <v>1</v>
      </c>
    </row>
    <row r="9" spans="1:22" ht="34.5" customHeight="1" x14ac:dyDescent="0.25">
      <c r="A9" s="146">
        <v>3</v>
      </c>
      <c r="B9" s="229"/>
      <c r="C9" s="230"/>
      <c r="D9" s="231"/>
      <c r="E9" s="237"/>
      <c r="F9" s="238"/>
      <c r="G9" s="147"/>
      <c r="H9" s="148"/>
      <c r="I9" s="149"/>
      <c r="J9" s="147"/>
      <c r="K9" s="150"/>
      <c r="L9" s="149">
        <v>1</v>
      </c>
      <c r="M9" s="147"/>
      <c r="N9" s="151" t="s">
        <v>612</v>
      </c>
      <c r="O9" s="147"/>
      <c r="P9" s="147">
        <v>1</v>
      </c>
      <c r="Q9" s="150"/>
      <c r="R9" s="152"/>
      <c r="S9" s="153"/>
      <c r="T9" s="148"/>
      <c r="U9" s="154">
        <v>1</v>
      </c>
      <c r="V9" s="147"/>
    </row>
    <row r="10" spans="1:22" ht="32.25" customHeight="1" x14ac:dyDescent="0.25">
      <c r="A10" s="146">
        <v>4</v>
      </c>
      <c r="B10" s="232"/>
      <c r="C10" s="233"/>
      <c r="D10" s="234"/>
      <c r="E10" s="239"/>
      <c r="F10" s="240"/>
      <c r="G10" s="147"/>
      <c r="H10" s="148"/>
      <c r="I10" s="149"/>
      <c r="J10" s="147"/>
      <c r="K10" s="150"/>
      <c r="L10" s="149">
        <v>1</v>
      </c>
      <c r="M10" s="147"/>
      <c r="N10" s="151" t="s">
        <v>613</v>
      </c>
      <c r="O10" s="147"/>
      <c r="P10" s="147">
        <v>1</v>
      </c>
      <c r="Q10" s="150"/>
      <c r="R10" s="152"/>
      <c r="S10" s="153"/>
      <c r="T10" s="148"/>
      <c r="U10" s="154">
        <v>1</v>
      </c>
      <c r="V10" s="147"/>
    </row>
    <row r="11" spans="1:22" ht="36" customHeight="1" x14ac:dyDescent="0.25">
      <c r="A11" s="55">
        <v>5</v>
      </c>
      <c r="B11" s="55">
        <v>3005059</v>
      </c>
      <c r="C11" s="55" t="s">
        <v>287</v>
      </c>
      <c r="D11" s="56" t="s">
        <v>262</v>
      </c>
      <c r="E11" s="62" t="s">
        <v>2</v>
      </c>
      <c r="F11" s="56" t="s">
        <v>288</v>
      </c>
      <c r="G11" s="155">
        <v>1</v>
      </c>
      <c r="H11" s="156"/>
      <c r="I11" s="157"/>
      <c r="J11" s="155">
        <v>1</v>
      </c>
      <c r="K11" s="158"/>
      <c r="L11" s="157">
        <v>1</v>
      </c>
      <c r="M11" s="155"/>
      <c r="N11" s="65" t="s">
        <v>614</v>
      </c>
      <c r="O11" s="155"/>
      <c r="P11" s="155">
        <v>1</v>
      </c>
      <c r="Q11" s="158"/>
      <c r="R11" s="159"/>
      <c r="S11" s="61">
        <v>1</v>
      </c>
      <c r="T11" s="156"/>
      <c r="U11" s="64"/>
      <c r="V11" s="155">
        <v>1</v>
      </c>
    </row>
    <row r="12" spans="1:22" ht="48" customHeight="1" x14ac:dyDescent="0.25">
      <c r="A12" s="54">
        <v>6</v>
      </c>
      <c r="B12" s="55">
        <v>3005715</v>
      </c>
      <c r="C12" s="55" t="s">
        <v>321</v>
      </c>
      <c r="D12" s="56" t="s">
        <v>289</v>
      </c>
      <c r="E12" s="57" t="s">
        <v>2</v>
      </c>
      <c r="F12" s="56" t="s">
        <v>383</v>
      </c>
      <c r="G12" s="55">
        <v>1</v>
      </c>
      <c r="H12" s="58"/>
      <c r="I12" s="59"/>
      <c r="J12" s="54">
        <v>1</v>
      </c>
      <c r="K12" s="60"/>
      <c r="L12" s="61">
        <v>1</v>
      </c>
      <c r="M12" s="55"/>
      <c r="N12" s="62" t="s">
        <v>587</v>
      </c>
      <c r="O12" s="54"/>
      <c r="P12" s="54"/>
      <c r="Q12" s="60">
        <v>1</v>
      </c>
      <c r="R12" s="63"/>
      <c r="S12" s="61">
        <v>1</v>
      </c>
      <c r="T12" s="58"/>
      <c r="U12" s="64"/>
      <c r="V12" s="55">
        <v>1</v>
      </c>
    </row>
    <row r="13" spans="1:22" ht="39.75" customHeight="1" x14ac:dyDescent="0.25">
      <c r="A13" s="55">
        <v>7</v>
      </c>
      <c r="B13" s="55">
        <v>3007255</v>
      </c>
      <c r="C13" s="55" t="s">
        <v>321</v>
      </c>
      <c r="D13" s="56" t="s">
        <v>291</v>
      </c>
      <c r="E13" s="62" t="s">
        <v>2</v>
      </c>
      <c r="F13" s="56" t="s">
        <v>449</v>
      </c>
      <c r="G13" s="55">
        <v>1</v>
      </c>
      <c r="H13" s="58"/>
      <c r="I13" s="59"/>
      <c r="J13" s="54">
        <v>1</v>
      </c>
      <c r="K13" s="60"/>
      <c r="L13" s="61">
        <v>1</v>
      </c>
      <c r="M13" s="55"/>
      <c r="N13" s="62" t="s">
        <v>588</v>
      </c>
      <c r="O13" s="54">
        <v>1</v>
      </c>
      <c r="P13" s="54"/>
      <c r="Q13" s="60"/>
      <c r="R13" s="63"/>
      <c r="S13" s="61">
        <v>1</v>
      </c>
      <c r="T13" s="58"/>
      <c r="U13" s="64"/>
      <c r="V13" s="55">
        <v>1</v>
      </c>
    </row>
    <row r="14" spans="1:22" ht="38.25" customHeight="1" x14ac:dyDescent="0.25">
      <c r="A14" s="54">
        <v>8</v>
      </c>
      <c r="B14" s="55">
        <v>3006156</v>
      </c>
      <c r="C14" s="55" t="s">
        <v>321</v>
      </c>
      <c r="D14" s="56" t="s">
        <v>244</v>
      </c>
      <c r="E14" s="57" t="s">
        <v>450</v>
      </c>
      <c r="F14" s="56" t="s">
        <v>322</v>
      </c>
      <c r="G14" s="55">
        <v>1</v>
      </c>
      <c r="H14" s="58"/>
      <c r="I14" s="59"/>
      <c r="J14" s="54">
        <v>1</v>
      </c>
      <c r="K14" s="60"/>
      <c r="L14" s="61">
        <v>1</v>
      </c>
      <c r="M14" s="55"/>
      <c r="N14" s="62" t="s">
        <v>615</v>
      </c>
      <c r="O14" s="54">
        <v>1</v>
      </c>
      <c r="P14" s="54"/>
      <c r="Q14" s="60"/>
      <c r="R14" s="63"/>
      <c r="S14" s="61">
        <v>1</v>
      </c>
      <c r="T14" s="58"/>
      <c r="U14" s="64"/>
      <c r="V14" s="55">
        <v>1</v>
      </c>
    </row>
    <row r="15" spans="1:22" ht="45.75" customHeight="1" x14ac:dyDescent="0.25">
      <c r="A15" s="55">
        <v>9</v>
      </c>
      <c r="B15" s="55">
        <v>3006696</v>
      </c>
      <c r="C15" s="55" t="s">
        <v>321</v>
      </c>
      <c r="D15" s="56" t="s">
        <v>240</v>
      </c>
      <c r="E15" s="62" t="s">
        <v>451</v>
      </c>
      <c r="F15" s="56" t="s">
        <v>322</v>
      </c>
      <c r="G15" s="55">
        <v>1</v>
      </c>
      <c r="H15" s="58"/>
      <c r="I15" s="59"/>
      <c r="J15" s="54">
        <v>1</v>
      </c>
      <c r="K15" s="60"/>
      <c r="L15" s="61">
        <v>1</v>
      </c>
      <c r="M15" s="55"/>
      <c r="N15" s="62" t="s">
        <v>616</v>
      </c>
      <c r="O15" s="54"/>
      <c r="P15" s="54"/>
      <c r="Q15" s="60">
        <v>1</v>
      </c>
      <c r="R15" s="63"/>
      <c r="S15" s="61">
        <v>1</v>
      </c>
      <c r="T15" s="58"/>
      <c r="U15" s="64"/>
      <c r="V15" s="55">
        <v>1</v>
      </c>
    </row>
    <row r="16" spans="1:22" ht="42" customHeight="1" x14ac:dyDescent="0.25">
      <c r="A16" s="54">
        <v>10</v>
      </c>
      <c r="B16" s="55">
        <v>3005397</v>
      </c>
      <c r="C16" s="55" t="s">
        <v>232</v>
      </c>
      <c r="D16" s="56" t="s">
        <v>452</v>
      </c>
      <c r="E16" s="57" t="s">
        <v>450</v>
      </c>
      <c r="F16" s="56" t="s">
        <v>236</v>
      </c>
      <c r="G16" s="55">
        <v>1</v>
      </c>
      <c r="H16" s="58"/>
      <c r="I16" s="59"/>
      <c r="J16" s="54"/>
      <c r="K16" s="60">
        <v>1</v>
      </c>
      <c r="L16" s="61"/>
      <c r="M16" s="55">
        <v>1</v>
      </c>
      <c r="N16" s="62"/>
      <c r="O16" s="54"/>
      <c r="P16" s="54"/>
      <c r="Q16" s="60"/>
      <c r="R16" s="63"/>
      <c r="S16" s="61"/>
      <c r="T16" s="58">
        <v>1</v>
      </c>
      <c r="U16" s="64"/>
      <c r="V16" s="55"/>
    </row>
    <row r="17" spans="1:22" ht="42.75" customHeight="1" x14ac:dyDescent="0.3">
      <c r="A17" s="55">
        <v>11</v>
      </c>
      <c r="B17" s="55">
        <v>3006393</v>
      </c>
      <c r="C17" s="55" t="s">
        <v>232</v>
      </c>
      <c r="D17" s="56" t="s">
        <v>243</v>
      </c>
      <c r="E17" s="57" t="s">
        <v>453</v>
      </c>
      <c r="F17" s="56" t="s">
        <v>454</v>
      </c>
      <c r="G17" s="55">
        <v>1</v>
      </c>
      <c r="H17" s="58"/>
      <c r="I17" s="59"/>
      <c r="J17" s="54">
        <v>1</v>
      </c>
      <c r="K17" s="84"/>
      <c r="L17" s="61">
        <v>1</v>
      </c>
      <c r="M17" s="55"/>
      <c r="N17" s="77" t="s">
        <v>617</v>
      </c>
      <c r="O17" s="83"/>
      <c r="P17" s="83"/>
      <c r="Q17" s="60">
        <v>1</v>
      </c>
      <c r="R17" s="63"/>
      <c r="S17" s="61">
        <v>1</v>
      </c>
      <c r="T17" s="58"/>
      <c r="U17" s="64"/>
      <c r="V17" s="55">
        <v>1</v>
      </c>
    </row>
    <row r="18" spans="1:22" ht="14.4" x14ac:dyDescent="0.25">
      <c r="A18" s="54">
        <v>12</v>
      </c>
      <c r="B18" s="55">
        <v>3009651</v>
      </c>
      <c r="C18" s="55" t="s">
        <v>232</v>
      </c>
      <c r="D18" s="56" t="s">
        <v>239</v>
      </c>
      <c r="E18" s="57" t="s">
        <v>384</v>
      </c>
      <c r="F18" s="56" t="s">
        <v>455</v>
      </c>
      <c r="G18" s="55">
        <v>1</v>
      </c>
      <c r="H18" s="58"/>
      <c r="I18" s="59"/>
      <c r="J18" s="54"/>
      <c r="K18" s="60">
        <v>1</v>
      </c>
      <c r="L18" s="61"/>
      <c r="M18" s="55">
        <v>1</v>
      </c>
      <c r="N18" s="62"/>
      <c r="O18" s="54"/>
      <c r="P18" s="54"/>
      <c r="Q18" s="60"/>
      <c r="R18" s="63"/>
      <c r="S18" s="61">
        <v>1</v>
      </c>
      <c r="T18" s="58"/>
      <c r="U18" s="64"/>
      <c r="V18" s="55"/>
    </row>
    <row r="19" spans="1:22" ht="14.4" x14ac:dyDescent="0.25">
      <c r="A19" s="55">
        <v>13</v>
      </c>
      <c r="B19" s="55">
        <v>3008216</v>
      </c>
      <c r="C19" s="55" t="s">
        <v>232</v>
      </c>
      <c r="D19" s="56" t="s">
        <v>385</v>
      </c>
      <c r="E19" s="57" t="s">
        <v>2</v>
      </c>
      <c r="F19" s="56" t="s">
        <v>290</v>
      </c>
      <c r="G19" s="55">
        <v>1</v>
      </c>
      <c r="H19" s="58"/>
      <c r="I19" s="59"/>
      <c r="J19" s="54"/>
      <c r="K19" s="60">
        <v>1</v>
      </c>
      <c r="L19" s="61"/>
      <c r="M19" s="55">
        <v>1</v>
      </c>
      <c r="N19" s="77"/>
      <c r="O19" s="54"/>
      <c r="P19" s="54"/>
      <c r="Q19" s="60"/>
      <c r="R19" s="63"/>
      <c r="S19" s="61"/>
      <c r="T19" s="58">
        <v>1</v>
      </c>
      <c r="U19" s="64"/>
      <c r="V19" s="55"/>
    </row>
    <row r="20" spans="1:22" ht="45.75" customHeight="1" x14ac:dyDescent="0.25">
      <c r="A20" s="54">
        <v>14</v>
      </c>
      <c r="B20" s="55">
        <v>3007529</v>
      </c>
      <c r="C20" s="55" t="s">
        <v>232</v>
      </c>
      <c r="D20" s="56" t="s">
        <v>237</v>
      </c>
      <c r="E20" s="62" t="s">
        <v>451</v>
      </c>
      <c r="F20" s="56" t="s">
        <v>236</v>
      </c>
      <c r="G20" s="55">
        <v>1</v>
      </c>
      <c r="H20" s="58"/>
      <c r="I20" s="59"/>
      <c r="J20" s="54">
        <v>1</v>
      </c>
      <c r="K20" s="60"/>
      <c r="L20" s="61">
        <v>1</v>
      </c>
      <c r="M20" s="55"/>
      <c r="N20" s="65" t="s">
        <v>589</v>
      </c>
      <c r="O20" s="54"/>
      <c r="P20" s="54">
        <v>1</v>
      </c>
      <c r="Q20" s="60"/>
      <c r="R20" s="63"/>
      <c r="S20" s="61">
        <v>1</v>
      </c>
      <c r="T20" s="58"/>
      <c r="U20" s="64"/>
      <c r="V20" s="55">
        <v>1</v>
      </c>
    </row>
    <row r="21" spans="1:22" ht="49.5" customHeight="1" x14ac:dyDescent="0.25">
      <c r="A21" s="55">
        <v>15</v>
      </c>
      <c r="B21" s="55">
        <v>3008001</v>
      </c>
      <c r="C21" s="55" t="s">
        <v>232</v>
      </c>
      <c r="D21" s="56" t="s">
        <v>221</v>
      </c>
      <c r="E21" s="57" t="s">
        <v>20</v>
      </c>
      <c r="F21" s="56" t="s">
        <v>238</v>
      </c>
      <c r="G21" s="55">
        <v>1</v>
      </c>
      <c r="H21" s="58"/>
      <c r="I21" s="59"/>
      <c r="J21" s="54"/>
      <c r="K21" s="60">
        <v>1</v>
      </c>
      <c r="L21" s="61"/>
      <c r="M21" s="55">
        <v>1</v>
      </c>
      <c r="N21" s="62"/>
      <c r="O21" s="54"/>
      <c r="P21" s="54"/>
      <c r="Q21" s="60"/>
      <c r="R21" s="63"/>
      <c r="S21" s="61">
        <v>1</v>
      </c>
      <c r="T21" s="58"/>
      <c r="U21" s="64"/>
      <c r="V21" s="55"/>
    </row>
    <row r="22" spans="1:22" ht="48" customHeight="1" x14ac:dyDescent="0.25">
      <c r="A22" s="54">
        <v>16</v>
      </c>
      <c r="B22" s="55">
        <v>3009693</v>
      </c>
      <c r="C22" s="55" t="s">
        <v>232</v>
      </c>
      <c r="D22" s="56" t="s">
        <v>297</v>
      </c>
      <c r="E22" s="57" t="s">
        <v>2</v>
      </c>
      <c r="F22" s="56" t="s">
        <v>292</v>
      </c>
      <c r="G22" s="55">
        <v>1</v>
      </c>
      <c r="H22" s="58"/>
      <c r="I22" s="59"/>
      <c r="J22" s="54">
        <v>1</v>
      </c>
      <c r="K22" s="60"/>
      <c r="L22" s="61">
        <v>1</v>
      </c>
      <c r="M22" s="55"/>
      <c r="N22" s="62" t="s">
        <v>534</v>
      </c>
      <c r="O22" s="54"/>
      <c r="P22" s="54"/>
      <c r="Q22" s="60">
        <v>1</v>
      </c>
      <c r="R22" s="63"/>
      <c r="S22" s="61">
        <v>1</v>
      </c>
      <c r="T22" s="58"/>
      <c r="U22" s="64"/>
      <c r="V22" s="55">
        <v>1</v>
      </c>
    </row>
    <row r="23" spans="1:22" ht="48.75" customHeight="1" x14ac:dyDescent="0.25">
      <c r="A23" s="55">
        <v>17</v>
      </c>
      <c r="B23" s="55">
        <v>3008035</v>
      </c>
      <c r="C23" s="55" t="s">
        <v>232</v>
      </c>
      <c r="D23" s="56" t="s">
        <v>263</v>
      </c>
      <c r="E23" s="62" t="s">
        <v>456</v>
      </c>
      <c r="F23" s="56" t="s">
        <v>457</v>
      </c>
      <c r="G23" s="55">
        <v>1</v>
      </c>
      <c r="H23" s="58"/>
      <c r="I23" s="59"/>
      <c r="J23" s="54">
        <v>1</v>
      </c>
      <c r="K23" s="60"/>
      <c r="L23" s="61">
        <v>1</v>
      </c>
      <c r="M23" s="55"/>
      <c r="N23" s="62" t="s">
        <v>601</v>
      </c>
      <c r="O23" s="54"/>
      <c r="P23" s="54"/>
      <c r="Q23" s="60">
        <v>1</v>
      </c>
      <c r="R23" s="63"/>
      <c r="S23" s="61">
        <v>1</v>
      </c>
      <c r="T23" s="58"/>
      <c r="U23" s="64"/>
      <c r="V23" s="55">
        <v>1</v>
      </c>
    </row>
    <row r="24" spans="1:22" ht="53.25" customHeight="1" x14ac:dyDescent="0.25">
      <c r="A24" s="54">
        <v>18</v>
      </c>
      <c r="B24" s="55">
        <v>3010188</v>
      </c>
      <c r="C24" s="55" t="s">
        <v>232</v>
      </c>
      <c r="D24" s="56" t="s">
        <v>194</v>
      </c>
      <c r="E24" s="57" t="s">
        <v>453</v>
      </c>
      <c r="F24" s="56" t="s">
        <v>458</v>
      </c>
      <c r="G24" s="55">
        <v>1</v>
      </c>
      <c r="H24" s="58"/>
      <c r="I24" s="59">
        <v>1</v>
      </c>
      <c r="J24" s="54"/>
      <c r="K24" s="60"/>
      <c r="L24" s="61">
        <v>1</v>
      </c>
      <c r="M24" s="55"/>
      <c r="N24" s="62" t="s">
        <v>593</v>
      </c>
      <c r="O24" s="54">
        <v>1</v>
      </c>
      <c r="P24" s="54"/>
      <c r="Q24" s="60"/>
      <c r="R24" s="63"/>
      <c r="S24" s="61">
        <v>1</v>
      </c>
      <c r="T24" s="58"/>
      <c r="U24" s="64"/>
      <c r="V24" s="55">
        <v>1</v>
      </c>
    </row>
    <row r="25" spans="1:22" ht="14.4" x14ac:dyDescent="0.25">
      <c r="A25" s="55">
        <v>19</v>
      </c>
      <c r="B25" s="55">
        <v>3009725</v>
      </c>
      <c r="C25" s="55" t="s">
        <v>232</v>
      </c>
      <c r="D25" s="56" t="s">
        <v>459</v>
      </c>
      <c r="E25" s="57" t="s">
        <v>2</v>
      </c>
      <c r="F25" s="57" t="s">
        <v>293</v>
      </c>
      <c r="G25" s="55">
        <v>1</v>
      </c>
      <c r="H25" s="58"/>
      <c r="I25" s="59"/>
      <c r="J25" s="54"/>
      <c r="K25" s="60">
        <v>1</v>
      </c>
      <c r="L25" s="61"/>
      <c r="M25" s="55">
        <v>1</v>
      </c>
      <c r="N25" s="62"/>
      <c r="O25" s="54"/>
      <c r="P25" s="54"/>
      <c r="Q25" s="60"/>
      <c r="R25" s="63"/>
      <c r="S25" s="61"/>
      <c r="T25" s="58">
        <v>1</v>
      </c>
      <c r="U25" s="64"/>
      <c r="V25" s="55"/>
    </row>
    <row r="26" spans="1:22" ht="52.5" customHeight="1" x14ac:dyDescent="0.25">
      <c r="A26" s="54">
        <v>20</v>
      </c>
      <c r="B26" s="55">
        <v>3010344</v>
      </c>
      <c r="C26" s="55" t="s">
        <v>232</v>
      </c>
      <c r="D26" s="56" t="s">
        <v>193</v>
      </c>
      <c r="E26" s="62" t="s">
        <v>2</v>
      </c>
      <c r="F26" s="56" t="s">
        <v>388</v>
      </c>
      <c r="G26" s="55">
        <v>1</v>
      </c>
      <c r="H26" s="58"/>
      <c r="I26" s="59">
        <v>1</v>
      </c>
      <c r="J26" s="54"/>
      <c r="K26" s="60"/>
      <c r="L26" s="61">
        <v>1</v>
      </c>
      <c r="M26" s="55"/>
      <c r="N26" s="62" t="s">
        <v>618</v>
      </c>
      <c r="O26" s="54"/>
      <c r="P26" s="54">
        <v>1</v>
      </c>
      <c r="Q26" s="60"/>
      <c r="R26" s="63"/>
      <c r="S26" s="61">
        <v>1</v>
      </c>
      <c r="T26" s="58"/>
      <c r="U26" s="64"/>
      <c r="V26" s="55">
        <v>1</v>
      </c>
    </row>
    <row r="27" spans="1:22" ht="56.25" customHeight="1" x14ac:dyDescent="0.25">
      <c r="A27" s="55">
        <v>21</v>
      </c>
      <c r="B27" s="55">
        <v>3010205</v>
      </c>
      <c r="C27" s="55" t="s">
        <v>232</v>
      </c>
      <c r="D27" s="56" t="s">
        <v>266</v>
      </c>
      <c r="E27" s="62" t="s">
        <v>460</v>
      </c>
      <c r="F27" s="56" t="s">
        <v>238</v>
      </c>
      <c r="G27" s="55">
        <v>1</v>
      </c>
      <c r="H27" s="58"/>
      <c r="I27" s="59"/>
      <c r="J27" s="54"/>
      <c r="K27" s="60">
        <v>1</v>
      </c>
      <c r="L27" s="61">
        <v>1</v>
      </c>
      <c r="M27" s="55"/>
      <c r="N27" s="65" t="s">
        <v>562</v>
      </c>
      <c r="O27" s="54"/>
      <c r="P27" s="54">
        <v>1</v>
      </c>
      <c r="Q27" s="60"/>
      <c r="R27" s="63"/>
      <c r="S27" s="61"/>
      <c r="T27" s="58">
        <v>1</v>
      </c>
      <c r="U27" s="64">
        <v>1</v>
      </c>
      <c r="V27" s="55"/>
    </row>
    <row r="28" spans="1:22" ht="49.5" customHeight="1" x14ac:dyDescent="0.25">
      <c r="A28" s="54">
        <v>22</v>
      </c>
      <c r="B28" s="55">
        <v>3007228</v>
      </c>
      <c r="C28" s="55" t="s">
        <v>461</v>
      </c>
      <c r="D28" s="56" t="s">
        <v>225</v>
      </c>
      <c r="E28" s="57" t="s">
        <v>456</v>
      </c>
      <c r="F28" s="56" t="s">
        <v>462</v>
      </c>
      <c r="G28" s="55">
        <v>1</v>
      </c>
      <c r="H28" s="58"/>
      <c r="I28" s="59"/>
      <c r="J28" s="54">
        <v>1</v>
      </c>
      <c r="K28" s="60"/>
      <c r="L28" s="61">
        <v>1</v>
      </c>
      <c r="M28" s="55"/>
      <c r="N28" s="62" t="s">
        <v>541</v>
      </c>
      <c r="O28" s="54">
        <v>1</v>
      </c>
      <c r="P28" s="54"/>
      <c r="Q28" s="60"/>
      <c r="R28" s="63"/>
      <c r="S28" s="61">
        <v>1</v>
      </c>
      <c r="T28" s="58"/>
      <c r="U28" s="64"/>
      <c r="V28" s="55">
        <v>1</v>
      </c>
    </row>
    <row r="29" spans="1:22" ht="48.75" customHeight="1" x14ac:dyDescent="0.25">
      <c r="A29" s="55">
        <v>23</v>
      </c>
      <c r="B29" s="55">
        <v>3009234</v>
      </c>
      <c r="C29" s="55" t="s">
        <v>232</v>
      </c>
      <c r="D29" s="56" t="s">
        <v>295</v>
      </c>
      <c r="E29" s="62" t="s">
        <v>2</v>
      </c>
      <c r="F29" s="56" t="s">
        <v>300</v>
      </c>
      <c r="G29" s="55">
        <v>1</v>
      </c>
      <c r="H29" s="58"/>
      <c r="I29" s="59"/>
      <c r="J29" s="54"/>
      <c r="K29" s="60">
        <v>1</v>
      </c>
      <c r="L29" s="61"/>
      <c r="M29" s="55">
        <v>1</v>
      </c>
      <c r="N29" s="77"/>
      <c r="O29" s="54"/>
      <c r="P29" s="54"/>
      <c r="Q29" s="60"/>
      <c r="R29" s="63"/>
      <c r="S29" s="61"/>
      <c r="T29" s="58">
        <v>1</v>
      </c>
      <c r="U29" s="64"/>
      <c r="V29" s="55"/>
    </row>
    <row r="30" spans="1:22" ht="14.4" x14ac:dyDescent="0.25">
      <c r="A30" s="54">
        <v>24</v>
      </c>
      <c r="B30" s="55">
        <v>3008083</v>
      </c>
      <c r="C30" s="55" t="s">
        <v>232</v>
      </c>
      <c r="D30" s="56" t="s">
        <v>217</v>
      </c>
      <c r="E30" s="62" t="s">
        <v>463</v>
      </c>
      <c r="F30" s="56" t="s">
        <v>216</v>
      </c>
      <c r="G30" s="55">
        <v>1</v>
      </c>
      <c r="H30" s="58"/>
      <c r="I30" s="59"/>
      <c r="J30" s="54"/>
      <c r="K30" s="60">
        <v>1</v>
      </c>
      <c r="L30" s="61">
        <v>1</v>
      </c>
      <c r="M30" s="55"/>
      <c r="N30" s="62" t="s">
        <v>557</v>
      </c>
      <c r="O30" s="54">
        <v>1</v>
      </c>
      <c r="P30" s="54"/>
      <c r="Q30" s="60"/>
      <c r="R30" s="63"/>
      <c r="S30" s="61">
        <v>1</v>
      </c>
      <c r="T30" s="58"/>
      <c r="U30" s="64"/>
      <c r="V30" s="55">
        <v>1</v>
      </c>
    </row>
    <row r="31" spans="1:22" ht="54.75" customHeight="1" x14ac:dyDescent="0.25">
      <c r="A31" s="55">
        <v>25</v>
      </c>
      <c r="B31" s="55">
        <v>3009710</v>
      </c>
      <c r="C31" s="55" t="s">
        <v>170</v>
      </c>
      <c r="D31" s="56" t="s">
        <v>204</v>
      </c>
      <c r="E31" s="57" t="s">
        <v>270</v>
      </c>
      <c r="F31" s="56" t="s">
        <v>238</v>
      </c>
      <c r="G31" s="55">
        <v>1</v>
      </c>
      <c r="H31" s="58"/>
      <c r="I31" s="59"/>
      <c r="J31" s="54"/>
      <c r="K31" s="60">
        <v>1</v>
      </c>
      <c r="L31" s="61">
        <v>1</v>
      </c>
      <c r="M31" s="55"/>
      <c r="N31" s="62" t="s">
        <v>569</v>
      </c>
      <c r="O31" s="54"/>
      <c r="P31" s="54">
        <v>1</v>
      </c>
      <c r="Q31" s="60"/>
      <c r="R31" s="63"/>
      <c r="S31" s="61"/>
      <c r="T31" s="58">
        <v>1</v>
      </c>
      <c r="U31" s="64">
        <v>1</v>
      </c>
      <c r="V31" s="55"/>
    </row>
    <row r="32" spans="1:22" ht="52.5" customHeight="1" x14ac:dyDescent="0.25">
      <c r="A32" s="54">
        <v>26</v>
      </c>
      <c r="B32" s="55">
        <v>3007997</v>
      </c>
      <c r="C32" s="55" t="s">
        <v>170</v>
      </c>
      <c r="D32" s="56" t="s">
        <v>223</v>
      </c>
      <c r="E32" s="57" t="s">
        <v>2</v>
      </c>
      <c r="F32" s="56" t="s">
        <v>425</v>
      </c>
      <c r="G32" s="55">
        <v>1</v>
      </c>
      <c r="H32" s="66"/>
      <c r="I32" s="59"/>
      <c r="J32" s="54">
        <v>1</v>
      </c>
      <c r="K32" s="60"/>
      <c r="L32" s="61">
        <v>1</v>
      </c>
      <c r="M32" s="54"/>
      <c r="N32" s="62" t="s">
        <v>553</v>
      </c>
      <c r="O32" s="54"/>
      <c r="P32" s="54"/>
      <c r="Q32" s="60">
        <v>1</v>
      </c>
      <c r="R32" s="63"/>
      <c r="S32" s="61">
        <v>1</v>
      </c>
      <c r="T32" s="66"/>
      <c r="U32" s="64"/>
      <c r="V32" s="54">
        <v>1</v>
      </c>
    </row>
    <row r="33" spans="1:22" ht="14.4" x14ac:dyDescent="0.25">
      <c r="A33" s="55">
        <v>27</v>
      </c>
      <c r="B33" s="55">
        <v>3006374</v>
      </c>
      <c r="C33" s="55" t="s">
        <v>170</v>
      </c>
      <c r="D33" s="56" t="s">
        <v>229</v>
      </c>
      <c r="E33" s="57" t="s">
        <v>464</v>
      </c>
      <c r="F33" s="56" t="s">
        <v>465</v>
      </c>
      <c r="G33" s="55">
        <v>1</v>
      </c>
      <c r="H33" s="58"/>
      <c r="I33" s="59"/>
      <c r="J33" s="54">
        <v>1</v>
      </c>
      <c r="K33" s="60"/>
      <c r="L33" s="61">
        <v>1</v>
      </c>
      <c r="M33" s="55"/>
      <c r="N33" s="62" t="s">
        <v>539</v>
      </c>
      <c r="O33" s="54">
        <v>1</v>
      </c>
      <c r="P33" s="54"/>
      <c r="Q33" s="60"/>
      <c r="R33" s="63"/>
      <c r="S33" s="61">
        <v>1</v>
      </c>
      <c r="T33" s="58"/>
      <c r="U33" s="64"/>
      <c r="V33" s="55">
        <v>1</v>
      </c>
    </row>
    <row r="34" spans="1:22" ht="48.75" customHeight="1" x14ac:dyDescent="0.25">
      <c r="A34" s="54">
        <v>28</v>
      </c>
      <c r="B34" s="55">
        <v>3006377</v>
      </c>
      <c r="C34" s="55" t="s">
        <v>170</v>
      </c>
      <c r="D34" s="56" t="s">
        <v>390</v>
      </c>
      <c r="E34" s="57" t="s">
        <v>228</v>
      </c>
      <c r="F34" s="56" t="s">
        <v>189</v>
      </c>
      <c r="G34" s="55">
        <v>1</v>
      </c>
      <c r="H34" s="58"/>
      <c r="I34" s="59"/>
      <c r="J34" s="54"/>
      <c r="K34" s="60">
        <v>1</v>
      </c>
      <c r="L34" s="61"/>
      <c r="M34" s="55">
        <v>1</v>
      </c>
      <c r="N34" s="62"/>
      <c r="O34" s="54"/>
      <c r="P34" s="54"/>
      <c r="Q34" s="60"/>
      <c r="R34" s="63"/>
      <c r="S34" s="61"/>
      <c r="T34" s="58">
        <v>1</v>
      </c>
      <c r="U34" s="64"/>
      <c r="V34" s="55"/>
    </row>
    <row r="35" spans="1:22" ht="14.4" x14ac:dyDescent="0.25">
      <c r="A35" s="55">
        <v>29</v>
      </c>
      <c r="B35" s="55">
        <v>7508392</v>
      </c>
      <c r="C35" s="55" t="s">
        <v>179</v>
      </c>
      <c r="D35" s="56" t="s">
        <v>178</v>
      </c>
      <c r="E35" s="57" t="s">
        <v>203</v>
      </c>
      <c r="F35" s="56" t="s">
        <v>167</v>
      </c>
      <c r="G35" s="55">
        <v>1</v>
      </c>
      <c r="H35" s="58"/>
      <c r="I35" s="59"/>
      <c r="J35" s="54"/>
      <c r="K35" s="60">
        <v>1</v>
      </c>
      <c r="L35" s="61"/>
      <c r="M35" s="55">
        <v>1</v>
      </c>
      <c r="N35" s="62"/>
      <c r="O35" s="54"/>
      <c r="P35" s="54"/>
      <c r="Q35" s="60"/>
      <c r="R35" s="63"/>
      <c r="S35" s="61"/>
      <c r="T35" s="58">
        <v>1</v>
      </c>
      <c r="U35" s="64"/>
      <c r="V35" s="55"/>
    </row>
    <row r="36" spans="1:22" ht="14.4" x14ac:dyDescent="0.25">
      <c r="A36" s="54">
        <v>30</v>
      </c>
      <c r="B36" s="55">
        <v>3008124</v>
      </c>
      <c r="C36" s="55" t="s">
        <v>170</v>
      </c>
      <c r="D36" s="56" t="s">
        <v>215</v>
      </c>
      <c r="E36" s="57" t="s">
        <v>101</v>
      </c>
      <c r="F36" s="56" t="s">
        <v>167</v>
      </c>
      <c r="G36" s="55">
        <v>1</v>
      </c>
      <c r="H36" s="58"/>
      <c r="I36" s="59"/>
      <c r="J36" s="54">
        <v>1</v>
      </c>
      <c r="K36" s="60"/>
      <c r="L36" s="61"/>
      <c r="M36" s="55">
        <v>1</v>
      </c>
      <c r="N36" s="62"/>
      <c r="O36" s="54"/>
      <c r="P36" s="54"/>
      <c r="Q36" s="60"/>
      <c r="R36" s="63"/>
      <c r="S36" s="61">
        <v>1</v>
      </c>
      <c r="T36" s="58"/>
      <c r="U36" s="64"/>
      <c r="V36" s="55"/>
    </row>
    <row r="37" spans="1:22" ht="14.4" x14ac:dyDescent="0.25">
      <c r="A37" s="55">
        <v>31</v>
      </c>
      <c r="B37" s="55">
        <v>3009684</v>
      </c>
      <c r="C37" s="55" t="s">
        <v>170</v>
      </c>
      <c r="D37" s="56" t="s">
        <v>206</v>
      </c>
      <c r="E37" s="57" t="s">
        <v>205</v>
      </c>
      <c r="F37" s="56" t="s">
        <v>167</v>
      </c>
      <c r="G37" s="55">
        <v>1</v>
      </c>
      <c r="H37" s="58"/>
      <c r="I37" s="61">
        <v>1</v>
      </c>
      <c r="J37" s="54"/>
      <c r="K37" s="60"/>
      <c r="L37" s="61"/>
      <c r="M37" s="55">
        <v>1</v>
      </c>
      <c r="N37" s="62"/>
      <c r="O37" s="54"/>
      <c r="P37" s="54"/>
      <c r="Q37" s="60"/>
      <c r="R37" s="63"/>
      <c r="S37" s="61">
        <v>1</v>
      </c>
      <c r="T37" s="58"/>
      <c r="U37" s="64"/>
      <c r="V37" s="55"/>
    </row>
    <row r="38" spans="1:22" ht="14.4" x14ac:dyDescent="0.25">
      <c r="A38" s="54">
        <v>32</v>
      </c>
      <c r="B38" s="55">
        <v>3010207</v>
      </c>
      <c r="C38" s="55" t="s">
        <v>170</v>
      </c>
      <c r="D38" s="56" t="s">
        <v>299</v>
      </c>
      <c r="E38" s="62" t="s">
        <v>270</v>
      </c>
      <c r="F38" s="56" t="s">
        <v>469</v>
      </c>
      <c r="G38" s="55">
        <v>1</v>
      </c>
      <c r="H38" s="58"/>
      <c r="I38" s="59"/>
      <c r="J38" s="54"/>
      <c r="K38" s="60">
        <v>1</v>
      </c>
      <c r="L38" s="61"/>
      <c r="M38" s="55">
        <v>1</v>
      </c>
      <c r="N38" s="62"/>
      <c r="O38" s="54"/>
      <c r="P38" s="54"/>
      <c r="Q38" s="60"/>
      <c r="R38" s="63"/>
      <c r="S38" s="61"/>
      <c r="T38" s="58">
        <v>1</v>
      </c>
      <c r="U38" s="64"/>
      <c r="V38" s="55"/>
    </row>
    <row r="39" spans="1:22" ht="63" customHeight="1" x14ac:dyDescent="0.25">
      <c r="A39" s="55">
        <v>33</v>
      </c>
      <c r="B39" s="55">
        <v>7512168</v>
      </c>
      <c r="C39" s="55" t="s">
        <v>170</v>
      </c>
      <c r="D39" s="56" t="s">
        <v>472</v>
      </c>
      <c r="E39" s="67" t="s">
        <v>222</v>
      </c>
      <c r="F39" s="67" t="s">
        <v>189</v>
      </c>
      <c r="G39" s="55">
        <v>1</v>
      </c>
      <c r="H39" s="58"/>
      <c r="I39" s="59"/>
      <c r="J39" s="54">
        <v>1</v>
      </c>
      <c r="K39" s="60"/>
      <c r="L39" s="61"/>
      <c r="M39" s="55">
        <v>1</v>
      </c>
      <c r="N39" s="62"/>
      <c r="O39" s="54"/>
      <c r="P39" s="54"/>
      <c r="Q39" s="60"/>
      <c r="R39" s="63"/>
      <c r="S39" s="71"/>
      <c r="T39" s="58">
        <v>1</v>
      </c>
      <c r="U39" s="72"/>
      <c r="V39" s="55"/>
    </row>
    <row r="40" spans="1:22" ht="14.4" x14ac:dyDescent="0.25">
      <c r="A40" s="54">
        <v>34</v>
      </c>
      <c r="B40" s="55">
        <v>7516997</v>
      </c>
      <c r="C40" s="55" t="s">
        <v>170</v>
      </c>
      <c r="D40" s="56" t="s">
        <v>177</v>
      </c>
      <c r="E40" s="62" t="s">
        <v>2</v>
      </c>
      <c r="F40" s="56" t="s">
        <v>473</v>
      </c>
      <c r="G40" s="55">
        <v>1</v>
      </c>
      <c r="H40" s="58"/>
      <c r="I40" s="59"/>
      <c r="J40" s="54"/>
      <c r="K40" s="60">
        <v>1</v>
      </c>
      <c r="L40" s="61"/>
      <c r="M40" s="55">
        <v>1</v>
      </c>
      <c r="N40" s="77"/>
      <c r="O40" s="54"/>
      <c r="P40" s="54"/>
      <c r="Q40" s="60"/>
      <c r="R40" s="63"/>
      <c r="S40" s="61"/>
      <c r="T40" s="58">
        <v>1</v>
      </c>
      <c r="U40" s="64"/>
      <c r="V40" s="55"/>
    </row>
    <row r="41" spans="1:22" ht="14.4" x14ac:dyDescent="0.25">
      <c r="A41" s="55">
        <v>35</v>
      </c>
      <c r="B41" s="55">
        <v>3009427</v>
      </c>
      <c r="C41" s="55" t="s">
        <v>170</v>
      </c>
      <c r="D41" s="56" t="s">
        <v>207</v>
      </c>
      <c r="E41" s="57" t="s">
        <v>119</v>
      </c>
      <c r="F41" s="56" t="s">
        <v>200</v>
      </c>
      <c r="G41" s="55">
        <v>1</v>
      </c>
      <c r="H41" s="58"/>
      <c r="I41" s="59"/>
      <c r="J41" s="54">
        <v>1</v>
      </c>
      <c r="K41" s="60"/>
      <c r="L41" s="61"/>
      <c r="M41" s="55">
        <v>1</v>
      </c>
      <c r="N41" s="76"/>
      <c r="O41" s="54"/>
      <c r="P41" s="54"/>
      <c r="Q41" s="60"/>
      <c r="R41" s="63"/>
      <c r="S41" s="61"/>
      <c r="T41" s="58">
        <v>1</v>
      </c>
      <c r="U41" s="64"/>
      <c r="V41" s="55"/>
    </row>
    <row r="42" spans="1:22" ht="66" customHeight="1" x14ac:dyDescent="0.25">
      <c r="A42" s="54">
        <v>36</v>
      </c>
      <c r="B42" s="55">
        <v>3009495</v>
      </c>
      <c r="C42" s="55" t="s">
        <v>170</v>
      </c>
      <c r="D42" s="56" t="s">
        <v>176</v>
      </c>
      <c r="E42" s="57" t="s">
        <v>269</v>
      </c>
      <c r="F42" s="56" t="s">
        <v>328</v>
      </c>
      <c r="G42" s="55">
        <v>1</v>
      </c>
      <c r="H42" s="58"/>
      <c r="I42" s="59"/>
      <c r="J42" s="54">
        <v>1</v>
      </c>
      <c r="K42" s="60"/>
      <c r="L42" s="61">
        <v>1</v>
      </c>
      <c r="M42" s="55"/>
      <c r="N42" s="62" t="s">
        <v>537</v>
      </c>
      <c r="O42" s="54">
        <v>1</v>
      </c>
      <c r="P42" s="54"/>
      <c r="Q42" s="60"/>
      <c r="R42" s="63"/>
      <c r="S42" s="61">
        <v>1</v>
      </c>
      <c r="T42" s="58"/>
      <c r="U42" s="64"/>
      <c r="V42" s="55">
        <v>1</v>
      </c>
    </row>
    <row r="43" spans="1:22" ht="14.4" x14ac:dyDescent="0.25">
      <c r="A43" s="55">
        <v>37</v>
      </c>
      <c r="B43" s="55">
        <v>7514423</v>
      </c>
      <c r="C43" s="55" t="s">
        <v>170</v>
      </c>
      <c r="D43" s="56" t="s">
        <v>474</v>
      </c>
      <c r="E43" s="57" t="s">
        <v>242</v>
      </c>
      <c r="F43" s="56" t="s">
        <v>331</v>
      </c>
      <c r="G43" s="55">
        <v>1</v>
      </c>
      <c r="H43" s="58"/>
      <c r="I43" s="59"/>
      <c r="J43" s="54"/>
      <c r="K43" s="60">
        <v>1</v>
      </c>
      <c r="L43" s="61"/>
      <c r="M43" s="55">
        <v>1</v>
      </c>
      <c r="N43" s="62"/>
      <c r="O43" s="54"/>
      <c r="P43" s="54"/>
      <c r="Q43" s="60"/>
      <c r="R43" s="63"/>
      <c r="S43" s="61"/>
      <c r="T43" s="58">
        <v>1</v>
      </c>
      <c r="U43" s="64"/>
      <c r="V43" s="55"/>
    </row>
    <row r="44" spans="1:22" ht="72" customHeight="1" x14ac:dyDescent="0.25">
      <c r="A44" s="54">
        <v>38</v>
      </c>
      <c r="B44" s="55">
        <v>3008445</v>
      </c>
      <c r="C44" s="55" t="s">
        <v>170</v>
      </c>
      <c r="D44" s="56" t="s">
        <v>213</v>
      </c>
      <c r="E44" s="57" t="s">
        <v>477</v>
      </c>
      <c r="F44" s="56" t="s">
        <v>167</v>
      </c>
      <c r="G44" s="55">
        <v>1</v>
      </c>
      <c r="H44" s="58"/>
      <c r="I44" s="59"/>
      <c r="J44" s="54">
        <v>1</v>
      </c>
      <c r="K44" s="60"/>
      <c r="L44" s="61"/>
      <c r="M44" s="55">
        <v>1</v>
      </c>
      <c r="N44" s="62"/>
      <c r="O44" s="54"/>
      <c r="P44" s="54"/>
      <c r="Q44" s="60"/>
      <c r="R44" s="63"/>
      <c r="S44" s="61"/>
      <c r="T44" s="58">
        <v>1</v>
      </c>
      <c r="U44" s="64"/>
      <c r="V44" s="55"/>
    </row>
    <row r="45" spans="1:22" ht="72" customHeight="1" x14ac:dyDescent="0.25">
      <c r="A45" s="55">
        <v>39</v>
      </c>
      <c r="B45" s="55">
        <v>3011466</v>
      </c>
      <c r="C45" s="55" t="s">
        <v>170</v>
      </c>
      <c r="D45" s="56" t="s">
        <v>150</v>
      </c>
      <c r="E45" s="57" t="s">
        <v>384</v>
      </c>
      <c r="F45" s="56" t="s">
        <v>478</v>
      </c>
      <c r="G45" s="55">
        <v>1</v>
      </c>
      <c r="H45" s="58"/>
      <c r="I45" s="59">
        <v>1</v>
      </c>
      <c r="J45" s="54"/>
      <c r="K45" s="60"/>
      <c r="L45" s="61"/>
      <c r="M45" s="55">
        <v>1</v>
      </c>
      <c r="N45" s="62"/>
      <c r="O45" s="54"/>
      <c r="P45" s="54"/>
      <c r="Q45" s="60"/>
      <c r="R45" s="63"/>
      <c r="S45" s="61">
        <v>1</v>
      </c>
      <c r="T45" s="58"/>
      <c r="U45" s="64"/>
      <c r="V45" s="55"/>
    </row>
    <row r="46" spans="1:22" ht="65.25" customHeight="1" x14ac:dyDescent="0.25">
      <c r="A46" s="54">
        <v>40</v>
      </c>
      <c r="B46" s="55">
        <v>3008508</v>
      </c>
      <c r="C46" s="55" t="s">
        <v>170</v>
      </c>
      <c r="D46" s="56" t="s">
        <v>264</v>
      </c>
      <c r="E46" s="62" t="s">
        <v>326</v>
      </c>
      <c r="F46" s="57" t="s">
        <v>200</v>
      </c>
      <c r="G46" s="55">
        <v>1</v>
      </c>
      <c r="H46" s="58"/>
      <c r="I46" s="59">
        <v>1</v>
      </c>
      <c r="J46" s="54"/>
      <c r="K46" s="60"/>
      <c r="L46" s="61">
        <v>1</v>
      </c>
      <c r="M46" s="55"/>
      <c r="N46" s="62" t="s">
        <v>563</v>
      </c>
      <c r="O46" s="54"/>
      <c r="P46" s="54"/>
      <c r="Q46" s="60">
        <v>1</v>
      </c>
      <c r="R46" s="63"/>
      <c r="S46" s="61"/>
      <c r="T46" s="58">
        <v>1</v>
      </c>
      <c r="U46" s="64">
        <v>1</v>
      </c>
      <c r="V46" s="55"/>
    </row>
    <row r="47" spans="1:22" ht="14.4" x14ac:dyDescent="0.25">
      <c r="A47" s="55">
        <v>41</v>
      </c>
      <c r="B47" s="55">
        <v>3008905</v>
      </c>
      <c r="C47" s="55" t="s">
        <v>170</v>
      </c>
      <c r="D47" s="56" t="s">
        <v>211</v>
      </c>
      <c r="E47" s="57" t="s">
        <v>2</v>
      </c>
      <c r="F47" s="56" t="s">
        <v>294</v>
      </c>
      <c r="G47" s="55">
        <v>1</v>
      </c>
      <c r="H47" s="58"/>
      <c r="I47" s="59"/>
      <c r="J47" s="54"/>
      <c r="K47" s="60">
        <v>1</v>
      </c>
      <c r="L47" s="61"/>
      <c r="M47" s="55">
        <v>1</v>
      </c>
      <c r="N47" s="62"/>
      <c r="O47" s="54"/>
      <c r="P47" s="54"/>
      <c r="Q47" s="60"/>
      <c r="R47" s="63"/>
      <c r="S47" s="61"/>
      <c r="T47" s="58">
        <v>1</v>
      </c>
      <c r="U47" s="64"/>
      <c r="V47" s="55"/>
    </row>
    <row r="48" spans="1:22" ht="70.5" customHeight="1" x14ac:dyDescent="0.25">
      <c r="A48" s="54">
        <v>42</v>
      </c>
      <c r="B48" s="55">
        <v>3008922</v>
      </c>
      <c r="C48" s="55" t="s">
        <v>170</v>
      </c>
      <c r="D48" s="56" t="s">
        <v>210</v>
      </c>
      <c r="E48" s="57" t="s">
        <v>2</v>
      </c>
      <c r="F48" s="56" t="s">
        <v>303</v>
      </c>
      <c r="G48" s="55">
        <v>1</v>
      </c>
      <c r="H48" s="68"/>
      <c r="I48" s="59"/>
      <c r="J48" s="54">
        <v>1</v>
      </c>
      <c r="K48" s="60"/>
      <c r="L48" s="71"/>
      <c r="M48" s="55">
        <v>1</v>
      </c>
      <c r="N48" s="56"/>
      <c r="O48" s="54"/>
      <c r="P48" s="54"/>
      <c r="Q48" s="60"/>
      <c r="R48" s="63"/>
      <c r="S48" s="61">
        <v>1</v>
      </c>
      <c r="T48" s="68"/>
      <c r="U48" s="64"/>
      <c r="V48" s="70"/>
    </row>
    <row r="49" spans="1:22" ht="69.75" customHeight="1" x14ac:dyDescent="0.25">
      <c r="A49" s="55">
        <v>43</v>
      </c>
      <c r="B49" s="55">
        <v>3011591</v>
      </c>
      <c r="C49" s="55" t="s">
        <v>170</v>
      </c>
      <c r="D49" s="56" t="s">
        <v>183</v>
      </c>
      <c r="E49" s="67" t="s">
        <v>160</v>
      </c>
      <c r="F49" s="67" t="s">
        <v>329</v>
      </c>
      <c r="G49" s="70">
        <v>1</v>
      </c>
      <c r="H49" s="68"/>
      <c r="I49" s="69"/>
      <c r="J49" s="54">
        <v>1</v>
      </c>
      <c r="K49" s="60"/>
      <c r="L49" s="71"/>
      <c r="M49" s="70">
        <v>1</v>
      </c>
      <c r="N49" s="62"/>
      <c r="O49" s="54"/>
      <c r="P49" s="54"/>
      <c r="Q49" s="60"/>
      <c r="R49" s="63"/>
      <c r="S49" s="71">
        <v>1</v>
      </c>
      <c r="T49" s="68"/>
      <c r="U49" s="72"/>
      <c r="V49" s="70"/>
    </row>
    <row r="50" spans="1:22" ht="70.5" customHeight="1" x14ac:dyDescent="0.25">
      <c r="A50" s="54">
        <v>44</v>
      </c>
      <c r="B50" s="55">
        <v>3009729</v>
      </c>
      <c r="C50" s="55" t="s">
        <v>170</v>
      </c>
      <c r="D50" s="56" t="s">
        <v>479</v>
      </c>
      <c r="E50" s="67" t="s">
        <v>480</v>
      </c>
      <c r="F50" s="67" t="s">
        <v>481</v>
      </c>
      <c r="G50" s="55">
        <v>1</v>
      </c>
      <c r="H50" s="68"/>
      <c r="I50" s="69"/>
      <c r="J50" s="54"/>
      <c r="K50" s="60">
        <v>1</v>
      </c>
      <c r="L50" s="61">
        <v>1</v>
      </c>
      <c r="M50" s="70"/>
      <c r="N50" s="62" t="s">
        <v>561</v>
      </c>
      <c r="O50" s="54"/>
      <c r="P50" s="54">
        <v>1</v>
      </c>
      <c r="Q50" s="60"/>
      <c r="R50" s="63"/>
      <c r="S50" s="71"/>
      <c r="T50" s="68">
        <v>1</v>
      </c>
      <c r="U50" s="72">
        <v>1</v>
      </c>
      <c r="V50" s="70"/>
    </row>
    <row r="51" spans="1:22" ht="56.25" customHeight="1" x14ac:dyDescent="0.25">
      <c r="A51" s="55">
        <v>45</v>
      </c>
      <c r="B51" s="55">
        <v>3012022</v>
      </c>
      <c r="C51" s="55" t="s">
        <v>170</v>
      </c>
      <c r="D51" s="56" t="s">
        <v>145</v>
      </c>
      <c r="E51" s="78" t="s">
        <v>330</v>
      </c>
      <c r="F51" s="74" t="s">
        <v>167</v>
      </c>
      <c r="G51" s="55">
        <v>1</v>
      </c>
      <c r="H51" s="58"/>
      <c r="I51" s="59">
        <v>1</v>
      </c>
      <c r="J51" s="54"/>
      <c r="K51" s="60"/>
      <c r="L51" s="61"/>
      <c r="M51" s="55">
        <v>1</v>
      </c>
      <c r="N51" s="62"/>
      <c r="O51" s="54"/>
      <c r="P51" s="54"/>
      <c r="Q51" s="60"/>
      <c r="R51" s="63"/>
      <c r="S51" s="69">
        <v>1</v>
      </c>
      <c r="T51" s="58"/>
      <c r="U51" s="81"/>
      <c r="V51" s="55"/>
    </row>
    <row r="52" spans="1:22" ht="59.25" customHeight="1" x14ac:dyDescent="0.25">
      <c r="A52" s="54">
        <v>46</v>
      </c>
      <c r="B52" s="55">
        <v>3009278</v>
      </c>
      <c r="C52" s="55" t="s">
        <v>170</v>
      </c>
      <c r="D52" s="56" t="s">
        <v>208</v>
      </c>
      <c r="E52" s="57" t="s">
        <v>483</v>
      </c>
      <c r="F52" s="56" t="s">
        <v>167</v>
      </c>
      <c r="G52" s="55">
        <v>1</v>
      </c>
      <c r="H52" s="58"/>
      <c r="I52" s="59"/>
      <c r="J52" s="54">
        <v>1</v>
      </c>
      <c r="K52" s="60"/>
      <c r="L52" s="61"/>
      <c r="M52" s="55"/>
      <c r="N52" s="62"/>
      <c r="O52" s="54"/>
      <c r="P52" s="54"/>
      <c r="Q52" s="60"/>
      <c r="R52" s="63"/>
      <c r="S52" s="160">
        <v>1</v>
      </c>
      <c r="T52" s="161"/>
      <c r="U52" s="162"/>
      <c r="V52" s="163"/>
    </row>
    <row r="53" spans="1:22" ht="60" customHeight="1" x14ac:dyDescent="0.25">
      <c r="A53" s="55">
        <v>47</v>
      </c>
      <c r="B53" s="55">
        <v>3011590</v>
      </c>
      <c r="C53" s="55" t="s">
        <v>170</v>
      </c>
      <c r="D53" s="56" t="s">
        <v>184</v>
      </c>
      <c r="E53" s="67" t="s">
        <v>135</v>
      </c>
      <c r="F53" s="67" t="s">
        <v>484</v>
      </c>
      <c r="G53" s="55">
        <v>1</v>
      </c>
      <c r="H53" s="58"/>
      <c r="I53" s="59"/>
      <c r="J53" s="54">
        <v>1</v>
      </c>
      <c r="K53" s="60"/>
      <c r="L53" s="61"/>
      <c r="M53" s="55">
        <v>1</v>
      </c>
      <c r="N53" s="62"/>
      <c r="O53" s="54"/>
      <c r="P53" s="54"/>
      <c r="Q53" s="60"/>
      <c r="R53" s="63"/>
      <c r="S53" s="71">
        <v>1</v>
      </c>
      <c r="T53" s="58"/>
      <c r="U53" s="72"/>
      <c r="V53" s="55"/>
    </row>
    <row r="54" spans="1:22" ht="14.4" x14ac:dyDescent="0.25">
      <c r="A54" s="54">
        <v>48</v>
      </c>
      <c r="B54" s="55">
        <v>3007993</v>
      </c>
      <c r="C54" s="55" t="s">
        <v>170</v>
      </c>
      <c r="D54" s="56" t="s">
        <v>224</v>
      </c>
      <c r="E54" s="57" t="s">
        <v>485</v>
      </c>
      <c r="F54" s="56" t="s">
        <v>484</v>
      </c>
      <c r="G54" s="55">
        <v>1</v>
      </c>
      <c r="H54" s="58"/>
      <c r="I54" s="59"/>
      <c r="J54" s="54"/>
      <c r="K54" s="60">
        <v>1</v>
      </c>
      <c r="L54" s="61"/>
      <c r="M54" s="55">
        <v>1</v>
      </c>
      <c r="N54" s="65"/>
      <c r="O54" s="54"/>
      <c r="P54" s="54"/>
      <c r="Q54" s="60"/>
      <c r="R54" s="63"/>
      <c r="S54" s="61">
        <v>1</v>
      </c>
      <c r="T54" s="58"/>
      <c r="U54" s="64"/>
      <c r="V54" s="55"/>
    </row>
    <row r="55" spans="1:22" ht="57.75" customHeight="1" x14ac:dyDescent="0.25">
      <c r="A55" s="55">
        <v>49</v>
      </c>
      <c r="B55" s="55">
        <v>3012078</v>
      </c>
      <c r="C55" s="55" t="s">
        <v>170</v>
      </c>
      <c r="D55" s="56" t="s">
        <v>143</v>
      </c>
      <c r="E55" s="57" t="s">
        <v>142</v>
      </c>
      <c r="F55" s="56" t="s">
        <v>167</v>
      </c>
      <c r="G55" s="55">
        <v>1</v>
      </c>
      <c r="H55" s="58"/>
      <c r="I55" s="59"/>
      <c r="J55" s="54"/>
      <c r="K55" s="60">
        <v>1</v>
      </c>
      <c r="L55" s="61"/>
      <c r="M55" s="55">
        <v>1</v>
      </c>
      <c r="N55" s="62"/>
      <c r="O55" s="54"/>
      <c r="P55" s="54"/>
      <c r="Q55" s="60"/>
      <c r="R55" s="63"/>
      <c r="S55" s="61"/>
      <c r="T55" s="58">
        <v>1</v>
      </c>
      <c r="U55" s="64"/>
      <c r="V55" s="55"/>
    </row>
    <row r="56" spans="1:22" ht="61.5" customHeight="1" x14ac:dyDescent="0.25">
      <c r="A56" s="54">
        <v>50</v>
      </c>
      <c r="B56" s="55">
        <v>3010051</v>
      </c>
      <c r="C56" s="55" t="s">
        <v>170</v>
      </c>
      <c r="D56" s="56" t="s">
        <v>198</v>
      </c>
      <c r="E56" s="57" t="s">
        <v>181</v>
      </c>
      <c r="F56" s="56" t="s">
        <v>189</v>
      </c>
      <c r="G56" s="55">
        <v>1</v>
      </c>
      <c r="H56" s="58"/>
      <c r="I56" s="59"/>
      <c r="J56" s="54">
        <v>1</v>
      </c>
      <c r="K56" s="60"/>
      <c r="L56" s="61"/>
      <c r="M56" s="55">
        <v>1</v>
      </c>
      <c r="N56" s="62"/>
      <c r="O56" s="54"/>
      <c r="P56" s="54"/>
      <c r="Q56" s="60"/>
      <c r="R56" s="63"/>
      <c r="S56" s="61">
        <v>1</v>
      </c>
      <c r="T56" s="58"/>
      <c r="U56" s="64"/>
      <c r="V56" s="55"/>
    </row>
    <row r="57" spans="1:22" ht="66.75" customHeight="1" x14ac:dyDescent="0.25">
      <c r="A57" s="55">
        <v>51</v>
      </c>
      <c r="B57" s="55">
        <v>3011296</v>
      </c>
      <c r="C57" s="55" t="s">
        <v>170</v>
      </c>
      <c r="D57" s="56" t="s">
        <v>302</v>
      </c>
      <c r="E57" s="62" t="s">
        <v>486</v>
      </c>
      <c r="F57" s="56" t="s">
        <v>487</v>
      </c>
      <c r="G57" s="55">
        <v>1</v>
      </c>
      <c r="H57" s="58"/>
      <c r="I57" s="59"/>
      <c r="J57" s="54">
        <v>1</v>
      </c>
      <c r="K57" s="60"/>
      <c r="L57" s="61">
        <v>1</v>
      </c>
      <c r="M57" s="55"/>
      <c r="N57" s="62" t="s">
        <v>542</v>
      </c>
      <c r="O57" s="54"/>
      <c r="P57" s="54"/>
      <c r="Q57" s="60">
        <v>1</v>
      </c>
      <c r="R57" s="63"/>
      <c r="S57" s="61"/>
      <c r="T57" s="58">
        <v>1</v>
      </c>
      <c r="U57" s="64">
        <v>1</v>
      </c>
      <c r="V57" s="55"/>
    </row>
    <row r="58" spans="1:22" ht="57" customHeight="1" x14ac:dyDescent="0.25">
      <c r="A58" s="54">
        <v>52</v>
      </c>
      <c r="B58" s="55">
        <v>3013629</v>
      </c>
      <c r="C58" s="55" t="s">
        <v>170</v>
      </c>
      <c r="D58" s="56" t="s">
        <v>310</v>
      </c>
      <c r="E58" s="62" t="s">
        <v>2</v>
      </c>
      <c r="F58" s="56" t="s">
        <v>296</v>
      </c>
      <c r="G58" s="55">
        <v>1</v>
      </c>
      <c r="H58" s="58"/>
      <c r="I58" s="59">
        <v>1</v>
      </c>
      <c r="J58" s="54"/>
      <c r="K58" s="60"/>
      <c r="L58" s="61">
        <v>1</v>
      </c>
      <c r="M58" s="55"/>
      <c r="N58" s="62" t="s">
        <v>662</v>
      </c>
      <c r="O58" s="54">
        <v>1</v>
      </c>
      <c r="P58" s="54"/>
      <c r="Q58" s="60"/>
      <c r="R58" s="63"/>
      <c r="S58" s="61">
        <v>1</v>
      </c>
      <c r="T58" s="58"/>
      <c r="U58" s="64"/>
      <c r="V58" s="55">
        <v>1</v>
      </c>
    </row>
    <row r="59" spans="1:22" ht="63.75" customHeight="1" x14ac:dyDescent="0.25">
      <c r="A59" s="55">
        <v>53</v>
      </c>
      <c r="B59" s="55">
        <v>3012023</v>
      </c>
      <c r="C59" s="55" t="s">
        <v>170</v>
      </c>
      <c r="D59" s="56" t="s">
        <v>180</v>
      </c>
      <c r="E59" s="57" t="s">
        <v>271</v>
      </c>
      <c r="F59" s="56" t="s">
        <v>167</v>
      </c>
      <c r="G59" s="55">
        <v>1</v>
      </c>
      <c r="H59" s="58"/>
      <c r="I59" s="59"/>
      <c r="J59" s="54">
        <v>1</v>
      </c>
      <c r="K59" s="60"/>
      <c r="L59" s="61">
        <v>1</v>
      </c>
      <c r="M59" s="55"/>
      <c r="N59" s="62" t="s">
        <v>551</v>
      </c>
      <c r="O59" s="54"/>
      <c r="P59" s="54">
        <v>1</v>
      </c>
      <c r="Q59" s="60"/>
      <c r="R59" s="63"/>
      <c r="S59" s="61">
        <v>1</v>
      </c>
      <c r="T59" s="58"/>
      <c r="U59" s="64"/>
      <c r="V59" s="55">
        <v>1</v>
      </c>
    </row>
    <row r="60" spans="1:22" ht="63.75" customHeight="1" x14ac:dyDescent="0.25">
      <c r="A60" s="54">
        <v>54</v>
      </c>
      <c r="B60" s="55">
        <v>3012024</v>
      </c>
      <c r="C60" s="55" t="s">
        <v>170</v>
      </c>
      <c r="D60" s="56" t="s">
        <v>174</v>
      </c>
      <c r="E60" s="57" t="s">
        <v>384</v>
      </c>
      <c r="F60" s="56" t="s">
        <v>478</v>
      </c>
      <c r="G60" s="55">
        <v>1</v>
      </c>
      <c r="H60" s="58"/>
      <c r="I60" s="59"/>
      <c r="J60" s="54"/>
      <c r="K60" s="60">
        <v>1</v>
      </c>
      <c r="L60" s="61"/>
      <c r="M60" s="55">
        <v>1</v>
      </c>
      <c r="N60" s="62"/>
      <c r="O60" s="54"/>
      <c r="P60" s="54"/>
      <c r="Q60" s="60"/>
      <c r="R60" s="63"/>
      <c r="S60" s="61">
        <v>1</v>
      </c>
      <c r="T60" s="58"/>
      <c r="U60" s="64"/>
      <c r="V60" s="55"/>
    </row>
    <row r="61" spans="1:22" ht="14.4" x14ac:dyDescent="0.25">
      <c r="A61" s="55">
        <v>55</v>
      </c>
      <c r="B61" s="55">
        <v>3010407</v>
      </c>
      <c r="C61" s="55" t="s">
        <v>170</v>
      </c>
      <c r="D61" s="56" t="s">
        <v>191</v>
      </c>
      <c r="E61" s="57" t="s">
        <v>111</v>
      </c>
      <c r="F61" s="56" t="s">
        <v>167</v>
      </c>
      <c r="G61" s="55">
        <v>1</v>
      </c>
      <c r="H61" s="58"/>
      <c r="I61" s="59"/>
      <c r="J61" s="54"/>
      <c r="K61" s="60">
        <v>1</v>
      </c>
      <c r="L61" s="61"/>
      <c r="M61" s="55">
        <v>1</v>
      </c>
      <c r="N61" s="62"/>
      <c r="O61" s="54"/>
      <c r="P61" s="54"/>
      <c r="Q61" s="60"/>
      <c r="R61" s="63"/>
      <c r="S61" s="61"/>
      <c r="T61" s="58">
        <v>1</v>
      </c>
      <c r="U61" s="64"/>
      <c r="V61" s="55"/>
    </row>
    <row r="62" spans="1:22" ht="65.25" customHeight="1" x14ac:dyDescent="0.25">
      <c r="A62" s="54">
        <v>56</v>
      </c>
      <c r="B62" s="55">
        <v>3010394</v>
      </c>
      <c r="C62" s="55" t="s">
        <v>170</v>
      </c>
      <c r="D62" s="56" t="s">
        <v>156</v>
      </c>
      <c r="E62" s="57" t="s">
        <v>333</v>
      </c>
      <c r="F62" s="56" t="s">
        <v>189</v>
      </c>
      <c r="G62" s="55">
        <v>1</v>
      </c>
      <c r="H62" s="68"/>
      <c r="I62" s="59"/>
      <c r="J62" s="54">
        <v>1</v>
      </c>
      <c r="K62" s="60"/>
      <c r="L62" s="61">
        <v>1</v>
      </c>
      <c r="M62" s="70"/>
      <c r="N62" s="62" t="s">
        <v>540</v>
      </c>
      <c r="O62" s="54"/>
      <c r="P62" s="54"/>
      <c r="Q62" s="60">
        <v>1</v>
      </c>
      <c r="R62" s="63"/>
      <c r="S62" s="61"/>
      <c r="T62" s="68">
        <v>1</v>
      </c>
      <c r="U62" s="64">
        <v>1</v>
      </c>
      <c r="V62" s="70"/>
    </row>
    <row r="63" spans="1:22" ht="54" customHeight="1" x14ac:dyDescent="0.25">
      <c r="A63" s="55">
        <v>57</v>
      </c>
      <c r="B63" s="55">
        <v>3010376</v>
      </c>
      <c r="C63" s="55" t="s">
        <v>170</v>
      </c>
      <c r="D63" s="56" t="s">
        <v>332</v>
      </c>
      <c r="E63" s="57" t="s">
        <v>450</v>
      </c>
      <c r="F63" s="56" t="s">
        <v>192</v>
      </c>
      <c r="G63" s="55">
        <v>1</v>
      </c>
      <c r="H63" s="58"/>
      <c r="I63" s="59"/>
      <c r="J63" s="54">
        <v>1</v>
      </c>
      <c r="K63" s="60"/>
      <c r="L63" s="61"/>
      <c r="M63" s="55">
        <v>1</v>
      </c>
      <c r="N63" s="62"/>
      <c r="O63" s="54"/>
      <c r="P63" s="54"/>
      <c r="Q63" s="60"/>
      <c r="R63" s="63"/>
      <c r="S63" s="61"/>
      <c r="T63" s="58">
        <v>1</v>
      </c>
      <c r="U63" s="64"/>
      <c r="V63" s="55"/>
    </row>
    <row r="64" spans="1:22" ht="55.5" customHeight="1" x14ac:dyDescent="0.25">
      <c r="A64" s="54">
        <v>58</v>
      </c>
      <c r="B64" s="55">
        <v>3012464</v>
      </c>
      <c r="C64" s="55" t="s">
        <v>170</v>
      </c>
      <c r="D64" s="56" t="s">
        <v>171</v>
      </c>
      <c r="E64" s="57" t="s">
        <v>98</v>
      </c>
      <c r="F64" s="56" t="s">
        <v>169</v>
      </c>
      <c r="G64" s="55">
        <v>1</v>
      </c>
      <c r="H64" s="58"/>
      <c r="I64" s="61"/>
      <c r="J64" s="54"/>
      <c r="K64" s="60">
        <v>1</v>
      </c>
      <c r="L64" s="61"/>
      <c r="M64" s="55">
        <v>1</v>
      </c>
      <c r="N64" s="62"/>
      <c r="O64" s="54"/>
      <c r="P64" s="54"/>
      <c r="Q64" s="60"/>
      <c r="R64" s="63"/>
      <c r="S64" s="61">
        <v>1</v>
      </c>
      <c r="T64" s="58"/>
      <c r="U64" s="64"/>
      <c r="V64" s="55"/>
    </row>
    <row r="65" spans="1:22" ht="54.75" customHeight="1" x14ac:dyDescent="0.25">
      <c r="A65" s="55">
        <v>59</v>
      </c>
      <c r="B65" s="55">
        <v>3012462</v>
      </c>
      <c r="C65" s="55" t="s">
        <v>170</v>
      </c>
      <c r="D65" s="56" t="s">
        <v>168</v>
      </c>
      <c r="E65" s="57" t="s">
        <v>115</v>
      </c>
      <c r="F65" s="56" t="s">
        <v>169</v>
      </c>
      <c r="G65" s="55">
        <v>1</v>
      </c>
      <c r="H65" s="58"/>
      <c r="I65" s="69"/>
      <c r="J65" s="54">
        <v>1</v>
      </c>
      <c r="K65" s="60"/>
      <c r="L65" s="61"/>
      <c r="M65" s="55">
        <v>1</v>
      </c>
      <c r="N65" s="62"/>
      <c r="O65" s="54"/>
      <c r="P65" s="54"/>
      <c r="Q65" s="60"/>
      <c r="R65" s="63"/>
      <c r="S65" s="61"/>
      <c r="T65" s="58">
        <v>1</v>
      </c>
      <c r="U65" s="64"/>
      <c r="V65" s="55"/>
    </row>
    <row r="66" spans="1:22" ht="60" customHeight="1" x14ac:dyDescent="0.25">
      <c r="A66" s="54">
        <v>60</v>
      </c>
      <c r="B66" s="55">
        <v>3011861</v>
      </c>
      <c r="C66" s="55" t="s">
        <v>170</v>
      </c>
      <c r="D66" s="56" t="s">
        <v>175</v>
      </c>
      <c r="E66" s="57" t="s">
        <v>85</v>
      </c>
      <c r="F66" s="57" t="s">
        <v>167</v>
      </c>
      <c r="G66" s="55">
        <v>1</v>
      </c>
      <c r="H66" s="58"/>
      <c r="I66" s="59"/>
      <c r="J66" s="54">
        <v>1</v>
      </c>
      <c r="K66" s="60"/>
      <c r="L66" s="61"/>
      <c r="M66" s="55">
        <v>1</v>
      </c>
      <c r="N66" s="62"/>
      <c r="O66" s="54"/>
      <c r="P66" s="54"/>
      <c r="Q66" s="60"/>
      <c r="R66" s="63"/>
      <c r="S66" s="61">
        <v>1</v>
      </c>
      <c r="T66" s="58"/>
      <c r="U66" s="64"/>
      <c r="V66" s="55"/>
    </row>
    <row r="67" spans="1:22" ht="70.5" customHeight="1" x14ac:dyDescent="0.25">
      <c r="A67" s="55">
        <v>61</v>
      </c>
      <c r="B67" s="55">
        <v>3014070</v>
      </c>
      <c r="C67" s="55" t="s">
        <v>170</v>
      </c>
      <c r="D67" s="56" t="s">
        <v>313</v>
      </c>
      <c r="E67" s="62" t="s">
        <v>2</v>
      </c>
      <c r="F67" s="56" t="s">
        <v>391</v>
      </c>
      <c r="G67" s="55">
        <v>1</v>
      </c>
      <c r="H67" s="58"/>
      <c r="I67" s="59"/>
      <c r="J67" s="54">
        <v>1</v>
      </c>
      <c r="K67" s="60"/>
      <c r="L67" s="61"/>
      <c r="M67" s="55">
        <v>1</v>
      </c>
      <c r="N67" s="76"/>
      <c r="O67" s="54"/>
      <c r="P67" s="54"/>
      <c r="Q67" s="60"/>
      <c r="R67" s="63"/>
      <c r="S67" s="61">
        <v>1</v>
      </c>
      <c r="T67" s="58"/>
      <c r="U67" s="64"/>
      <c r="V67" s="55"/>
    </row>
    <row r="68" spans="1:22" ht="69.75" customHeight="1" x14ac:dyDescent="0.25">
      <c r="A68" s="54">
        <v>62</v>
      </c>
      <c r="B68" s="55">
        <v>3011636</v>
      </c>
      <c r="C68" s="55" t="s">
        <v>170</v>
      </c>
      <c r="D68" s="56" t="s">
        <v>488</v>
      </c>
      <c r="E68" s="67" t="s">
        <v>2</v>
      </c>
      <c r="F68" s="67" t="s">
        <v>392</v>
      </c>
      <c r="G68" s="55">
        <v>1</v>
      </c>
      <c r="H68" s="58"/>
      <c r="I68" s="59"/>
      <c r="J68" s="54">
        <v>1</v>
      </c>
      <c r="K68" s="60"/>
      <c r="L68" s="61">
        <v>1</v>
      </c>
      <c r="M68" s="55"/>
      <c r="N68" s="62" t="s">
        <v>536</v>
      </c>
      <c r="O68" s="54"/>
      <c r="P68" s="54"/>
      <c r="Q68" s="60">
        <v>1</v>
      </c>
      <c r="R68" s="63"/>
      <c r="S68" s="71">
        <v>1</v>
      </c>
      <c r="T68" s="58"/>
      <c r="U68" s="72"/>
      <c r="V68" s="55">
        <v>1</v>
      </c>
    </row>
    <row r="69" spans="1:22" ht="64.5" customHeight="1" x14ac:dyDescent="0.25">
      <c r="A69" s="55">
        <v>63</v>
      </c>
      <c r="B69" s="55">
        <v>3011701</v>
      </c>
      <c r="C69" s="55" t="s">
        <v>170</v>
      </c>
      <c r="D69" s="56" t="s">
        <v>424</v>
      </c>
      <c r="E69" s="77" t="s">
        <v>2</v>
      </c>
      <c r="F69" s="56" t="s">
        <v>393</v>
      </c>
      <c r="G69" s="55">
        <v>1</v>
      </c>
      <c r="H69" s="58"/>
      <c r="I69" s="59"/>
      <c r="J69" s="54">
        <v>1</v>
      </c>
      <c r="K69" s="60"/>
      <c r="L69" s="61">
        <v>1</v>
      </c>
      <c r="M69" s="55"/>
      <c r="N69" s="77" t="s">
        <v>577</v>
      </c>
      <c r="O69" s="54"/>
      <c r="P69" s="54"/>
      <c r="Q69" s="60">
        <v>1</v>
      </c>
      <c r="R69" s="63"/>
      <c r="S69" s="61">
        <v>1</v>
      </c>
      <c r="T69" s="58"/>
      <c r="U69" s="64"/>
      <c r="V69" s="55">
        <v>1</v>
      </c>
    </row>
    <row r="70" spans="1:22" ht="54.75" customHeight="1" x14ac:dyDescent="0.25">
      <c r="A70" s="54">
        <v>64</v>
      </c>
      <c r="B70" s="55">
        <v>3011589</v>
      </c>
      <c r="C70" s="55" t="s">
        <v>170</v>
      </c>
      <c r="D70" s="56" t="s">
        <v>186</v>
      </c>
      <c r="E70" s="62" t="s">
        <v>146</v>
      </c>
      <c r="F70" s="57" t="s">
        <v>189</v>
      </c>
      <c r="G70" s="54">
        <v>1</v>
      </c>
      <c r="H70" s="66"/>
      <c r="I70" s="59"/>
      <c r="J70" s="54">
        <v>1</v>
      </c>
      <c r="K70" s="60"/>
      <c r="L70" s="69"/>
      <c r="M70" s="54"/>
      <c r="N70" s="62"/>
      <c r="O70" s="54"/>
      <c r="P70" s="54"/>
      <c r="Q70" s="60"/>
      <c r="R70" s="63"/>
      <c r="S70" s="61">
        <v>1</v>
      </c>
      <c r="T70" s="66"/>
      <c r="U70" s="64"/>
      <c r="V70" s="54"/>
    </row>
    <row r="71" spans="1:22" ht="54" customHeight="1" x14ac:dyDescent="0.25">
      <c r="A71" s="55">
        <v>65</v>
      </c>
      <c r="B71" s="55">
        <v>3013642</v>
      </c>
      <c r="C71" s="55" t="s">
        <v>170</v>
      </c>
      <c r="D71" s="56" t="s">
        <v>268</v>
      </c>
      <c r="E71" s="57" t="s">
        <v>11</v>
      </c>
      <c r="F71" s="56" t="s">
        <v>329</v>
      </c>
      <c r="G71" s="55">
        <v>1</v>
      </c>
      <c r="H71" s="66"/>
      <c r="I71" s="59"/>
      <c r="J71" s="54"/>
      <c r="K71" s="60">
        <v>1</v>
      </c>
      <c r="L71" s="61">
        <v>1</v>
      </c>
      <c r="M71" s="54"/>
      <c r="N71" s="62" t="s">
        <v>547</v>
      </c>
      <c r="O71" s="54"/>
      <c r="P71" s="54">
        <v>1</v>
      </c>
      <c r="Q71" s="60"/>
      <c r="R71" s="63"/>
      <c r="S71" s="61">
        <v>1</v>
      </c>
      <c r="T71" s="66"/>
      <c r="U71" s="64"/>
      <c r="V71" s="54">
        <v>1</v>
      </c>
    </row>
    <row r="72" spans="1:22" ht="65.25" customHeight="1" x14ac:dyDescent="0.25">
      <c r="A72" s="54">
        <v>66</v>
      </c>
      <c r="B72" s="55">
        <v>3011401</v>
      </c>
      <c r="C72" s="55" t="s">
        <v>170</v>
      </c>
      <c r="D72" s="56" t="s">
        <v>151</v>
      </c>
      <c r="E72" s="57" t="s">
        <v>0</v>
      </c>
      <c r="F72" s="62" t="s">
        <v>169</v>
      </c>
      <c r="G72" s="55">
        <v>1</v>
      </c>
      <c r="H72" s="68"/>
      <c r="I72" s="71"/>
      <c r="J72" s="54">
        <v>1</v>
      </c>
      <c r="K72" s="60"/>
      <c r="L72" s="61">
        <v>1</v>
      </c>
      <c r="M72" s="70"/>
      <c r="N72" s="62" t="s">
        <v>538</v>
      </c>
      <c r="O72" s="54"/>
      <c r="P72" s="54"/>
      <c r="Q72" s="60">
        <v>1</v>
      </c>
      <c r="R72" s="63"/>
      <c r="S72" s="59">
        <v>1</v>
      </c>
      <c r="T72" s="68"/>
      <c r="U72" s="73"/>
      <c r="V72" s="70">
        <v>1</v>
      </c>
    </row>
    <row r="73" spans="1:22" ht="54.75" customHeight="1" x14ac:dyDescent="0.25">
      <c r="A73" s="55">
        <v>67</v>
      </c>
      <c r="B73" s="70">
        <v>3011288</v>
      </c>
      <c r="C73" s="70" t="s">
        <v>170</v>
      </c>
      <c r="D73" s="67" t="s">
        <v>154</v>
      </c>
      <c r="E73" s="57" t="s">
        <v>23</v>
      </c>
      <c r="F73" s="56" t="s">
        <v>189</v>
      </c>
      <c r="G73" s="55">
        <v>1</v>
      </c>
      <c r="H73" s="58"/>
      <c r="I73" s="71"/>
      <c r="J73" s="54">
        <v>1</v>
      </c>
      <c r="K73" s="60"/>
      <c r="L73" s="61"/>
      <c r="M73" s="55">
        <v>1</v>
      </c>
      <c r="N73" s="62"/>
      <c r="O73" s="54"/>
      <c r="P73" s="54"/>
      <c r="Q73" s="60"/>
      <c r="R73" s="63"/>
      <c r="S73" s="61"/>
      <c r="T73" s="58">
        <v>1</v>
      </c>
      <c r="U73" s="64"/>
      <c r="V73" s="55"/>
    </row>
    <row r="74" spans="1:22" ht="61.5" customHeight="1" x14ac:dyDescent="0.3">
      <c r="A74" s="54">
        <v>68</v>
      </c>
      <c r="B74" s="55">
        <v>7518991</v>
      </c>
      <c r="C74" s="55" t="s">
        <v>170</v>
      </c>
      <c r="D74" s="56" t="s">
        <v>120</v>
      </c>
      <c r="E74" s="57" t="s">
        <v>450</v>
      </c>
      <c r="F74" s="56" t="s">
        <v>212</v>
      </c>
      <c r="G74" s="55">
        <v>1</v>
      </c>
      <c r="H74" s="68"/>
      <c r="I74" s="71">
        <v>1</v>
      </c>
      <c r="J74" s="54"/>
      <c r="K74" s="60"/>
      <c r="L74" s="71"/>
      <c r="M74" s="55">
        <v>1</v>
      </c>
      <c r="N74" s="82"/>
      <c r="O74" s="83"/>
      <c r="P74" s="83"/>
      <c r="Q74" s="84"/>
      <c r="R74" s="63"/>
      <c r="S74" s="61"/>
      <c r="T74" s="68">
        <v>1</v>
      </c>
      <c r="U74" s="64"/>
      <c r="V74" s="70"/>
    </row>
    <row r="75" spans="1:22" ht="65.25" customHeight="1" x14ac:dyDescent="0.25">
      <c r="A75" s="55">
        <v>69</v>
      </c>
      <c r="B75" s="54">
        <v>3012281</v>
      </c>
      <c r="C75" s="54" t="s">
        <v>170</v>
      </c>
      <c r="D75" s="74" t="s">
        <v>305</v>
      </c>
      <c r="E75" s="67" t="s">
        <v>202</v>
      </c>
      <c r="F75" s="56" t="s">
        <v>201</v>
      </c>
      <c r="G75" s="55">
        <v>1</v>
      </c>
      <c r="H75" s="58"/>
      <c r="I75" s="59"/>
      <c r="J75" s="54">
        <v>1</v>
      </c>
      <c r="K75" s="60"/>
      <c r="L75" s="61">
        <v>1</v>
      </c>
      <c r="M75" s="55"/>
      <c r="N75" s="62" t="s">
        <v>548</v>
      </c>
      <c r="O75" s="54"/>
      <c r="P75" s="54"/>
      <c r="Q75" s="60">
        <v>1</v>
      </c>
      <c r="R75" s="63"/>
      <c r="S75" s="61"/>
      <c r="T75" s="58">
        <v>1</v>
      </c>
      <c r="U75" s="64">
        <v>1</v>
      </c>
      <c r="V75" s="55"/>
    </row>
    <row r="76" spans="1:22" ht="66.75" customHeight="1" x14ac:dyDescent="0.25">
      <c r="A76" s="54">
        <v>70</v>
      </c>
      <c r="B76" s="70">
        <v>3011348</v>
      </c>
      <c r="C76" s="70" t="s">
        <v>170</v>
      </c>
      <c r="D76" s="67" t="s">
        <v>152</v>
      </c>
      <c r="E76" s="57" t="s">
        <v>450</v>
      </c>
      <c r="F76" s="56" t="s">
        <v>334</v>
      </c>
      <c r="G76" s="55">
        <v>1</v>
      </c>
      <c r="H76" s="68"/>
      <c r="I76" s="59"/>
      <c r="J76" s="54"/>
      <c r="K76" s="60">
        <v>1</v>
      </c>
      <c r="L76" s="71"/>
      <c r="M76" s="55">
        <v>1</v>
      </c>
      <c r="N76" s="62"/>
      <c r="O76" s="54"/>
      <c r="P76" s="54"/>
      <c r="Q76" s="60"/>
      <c r="R76" s="63"/>
      <c r="S76" s="61">
        <v>1</v>
      </c>
      <c r="T76" s="68"/>
      <c r="U76" s="64"/>
      <c r="V76" s="70"/>
    </row>
    <row r="77" spans="1:22" ht="53.25" customHeight="1" x14ac:dyDescent="0.25">
      <c r="A77" s="55">
        <v>71</v>
      </c>
      <c r="B77" s="70">
        <v>3013679</v>
      </c>
      <c r="C77" s="70" t="s">
        <v>170</v>
      </c>
      <c r="D77" s="67" t="s">
        <v>133</v>
      </c>
      <c r="E77" s="57" t="s">
        <v>335</v>
      </c>
      <c r="F77" s="56" t="s">
        <v>331</v>
      </c>
      <c r="G77" s="55">
        <v>1</v>
      </c>
      <c r="H77" s="58"/>
      <c r="I77" s="59"/>
      <c r="J77" s="54">
        <v>1</v>
      </c>
      <c r="K77" s="60"/>
      <c r="L77" s="61"/>
      <c r="M77" s="55">
        <v>1</v>
      </c>
      <c r="N77" s="76"/>
      <c r="O77" s="54"/>
      <c r="P77" s="54"/>
      <c r="Q77" s="60"/>
      <c r="R77" s="63"/>
      <c r="S77" s="61">
        <v>1</v>
      </c>
      <c r="T77" s="58"/>
      <c r="U77" s="64"/>
      <c r="V77" s="55"/>
    </row>
    <row r="78" spans="1:22" ht="61.5" customHeight="1" x14ac:dyDescent="0.25">
      <c r="A78" s="54">
        <v>72</v>
      </c>
      <c r="B78" s="55">
        <v>7517972</v>
      </c>
      <c r="C78" s="55" t="s">
        <v>170</v>
      </c>
      <c r="D78" s="56" t="s">
        <v>121</v>
      </c>
      <c r="E78" s="57" t="s">
        <v>155</v>
      </c>
      <c r="F78" s="56" t="s">
        <v>187</v>
      </c>
      <c r="G78" s="55">
        <v>1</v>
      </c>
      <c r="H78" s="66"/>
      <c r="I78" s="61"/>
      <c r="J78" s="54"/>
      <c r="K78" s="60">
        <v>1</v>
      </c>
      <c r="L78" s="61">
        <v>1</v>
      </c>
      <c r="M78" s="54"/>
      <c r="N78" s="62" t="s">
        <v>544</v>
      </c>
      <c r="O78" s="54"/>
      <c r="P78" s="54">
        <v>1</v>
      </c>
      <c r="Q78" s="60"/>
      <c r="R78" s="63"/>
      <c r="S78" s="61"/>
      <c r="T78" s="66">
        <v>1</v>
      </c>
      <c r="U78" s="64">
        <v>1</v>
      </c>
      <c r="V78" s="54"/>
    </row>
    <row r="79" spans="1:22" ht="56.25" customHeight="1" x14ac:dyDescent="0.25">
      <c r="A79" s="55">
        <v>73</v>
      </c>
      <c r="B79" s="55">
        <v>3014047</v>
      </c>
      <c r="C79" s="55" t="s">
        <v>170</v>
      </c>
      <c r="D79" s="56" t="s">
        <v>132</v>
      </c>
      <c r="E79" s="56" t="s">
        <v>451</v>
      </c>
      <c r="F79" s="56" t="s">
        <v>200</v>
      </c>
      <c r="G79" s="55">
        <v>1</v>
      </c>
      <c r="H79" s="66"/>
      <c r="I79" s="69">
        <v>1</v>
      </c>
      <c r="J79" s="54"/>
      <c r="K79" s="60"/>
      <c r="L79" s="69"/>
      <c r="M79" s="54">
        <v>1</v>
      </c>
      <c r="N79" s="62"/>
      <c r="O79" s="54"/>
      <c r="P79" s="54"/>
      <c r="Q79" s="60"/>
      <c r="R79" s="63"/>
      <c r="S79" s="61">
        <v>1</v>
      </c>
      <c r="T79" s="66"/>
      <c r="U79" s="64"/>
      <c r="V79" s="54"/>
    </row>
    <row r="80" spans="1:22" ht="61.5" customHeight="1" x14ac:dyDescent="0.25">
      <c r="A80" s="54">
        <v>74</v>
      </c>
      <c r="B80" s="55">
        <v>3011804</v>
      </c>
      <c r="C80" s="55" t="s">
        <v>170</v>
      </c>
      <c r="D80" s="56" t="s">
        <v>148</v>
      </c>
      <c r="E80" s="57" t="s">
        <v>460</v>
      </c>
      <c r="F80" s="56" t="s">
        <v>489</v>
      </c>
      <c r="G80" s="55">
        <v>1</v>
      </c>
      <c r="H80" s="75"/>
      <c r="I80" s="69"/>
      <c r="J80" s="54"/>
      <c r="K80" s="60">
        <v>1</v>
      </c>
      <c r="L80" s="61">
        <v>1</v>
      </c>
      <c r="M80" s="76"/>
      <c r="N80" s="62" t="s">
        <v>535</v>
      </c>
      <c r="O80" s="54"/>
      <c r="P80" s="54">
        <v>1</v>
      </c>
      <c r="Q80" s="60"/>
      <c r="R80" s="63"/>
      <c r="S80" s="61"/>
      <c r="T80" s="75">
        <v>1</v>
      </c>
      <c r="U80" s="64">
        <v>1</v>
      </c>
      <c r="V80" s="76"/>
    </row>
    <row r="81" spans="1:22" ht="62.25" customHeight="1" x14ac:dyDescent="0.25">
      <c r="A81" s="55">
        <v>75</v>
      </c>
      <c r="B81" s="55">
        <v>3013665</v>
      </c>
      <c r="C81" s="55" t="s">
        <v>170</v>
      </c>
      <c r="D81" s="56" t="s">
        <v>134</v>
      </c>
      <c r="E81" s="57" t="s">
        <v>62</v>
      </c>
      <c r="F81" s="56" t="s">
        <v>167</v>
      </c>
      <c r="G81" s="55">
        <v>1</v>
      </c>
      <c r="H81" s="68"/>
      <c r="I81" s="69">
        <v>1</v>
      </c>
      <c r="J81" s="54"/>
      <c r="K81" s="60"/>
      <c r="L81" s="61">
        <v>1</v>
      </c>
      <c r="M81" s="70"/>
      <c r="N81" s="62" t="s">
        <v>560</v>
      </c>
      <c r="O81" s="54"/>
      <c r="P81" s="54">
        <v>1</v>
      </c>
      <c r="Q81" s="60"/>
      <c r="R81" s="63"/>
      <c r="S81" s="61">
        <v>1</v>
      </c>
      <c r="T81" s="68"/>
      <c r="U81" s="64"/>
      <c r="V81" s="70">
        <v>1</v>
      </c>
    </row>
    <row r="82" spans="1:22" ht="54.75" customHeight="1" x14ac:dyDescent="0.25">
      <c r="A82" s="54">
        <v>76</v>
      </c>
      <c r="B82" s="55">
        <v>3014058</v>
      </c>
      <c r="C82" s="55" t="s">
        <v>170</v>
      </c>
      <c r="D82" s="56" t="s">
        <v>129</v>
      </c>
      <c r="E82" s="57" t="s">
        <v>2</v>
      </c>
      <c r="F82" s="56" t="s">
        <v>394</v>
      </c>
      <c r="G82" s="55">
        <v>1</v>
      </c>
      <c r="H82" s="68"/>
      <c r="I82" s="61"/>
      <c r="J82" s="54">
        <v>1</v>
      </c>
      <c r="K82" s="60"/>
      <c r="L82" s="71"/>
      <c r="M82" s="70">
        <v>1</v>
      </c>
      <c r="N82" s="77"/>
      <c r="O82" s="54"/>
      <c r="P82" s="54"/>
      <c r="Q82" s="60"/>
      <c r="R82" s="63"/>
      <c r="S82" s="61">
        <v>1</v>
      </c>
      <c r="T82" s="68"/>
      <c r="U82" s="64"/>
      <c r="V82" s="70"/>
    </row>
    <row r="83" spans="1:22" ht="55.5" customHeight="1" x14ac:dyDescent="0.25">
      <c r="A83" s="55">
        <v>77</v>
      </c>
      <c r="B83" s="55">
        <v>3012926</v>
      </c>
      <c r="C83" s="55" t="s">
        <v>170</v>
      </c>
      <c r="D83" s="62" t="s">
        <v>306</v>
      </c>
      <c r="E83" s="57" t="s">
        <v>2</v>
      </c>
      <c r="F83" s="56" t="s">
        <v>298</v>
      </c>
      <c r="G83" s="55">
        <v>1</v>
      </c>
      <c r="H83" s="68"/>
      <c r="I83" s="61"/>
      <c r="J83" s="54">
        <v>1</v>
      </c>
      <c r="K83" s="60"/>
      <c r="L83" s="71"/>
      <c r="M83" s="55">
        <v>1</v>
      </c>
      <c r="N83" s="76"/>
      <c r="O83" s="54"/>
      <c r="P83" s="54"/>
      <c r="Q83" s="60"/>
      <c r="R83" s="63"/>
      <c r="S83" s="61"/>
      <c r="T83" s="68">
        <v>1</v>
      </c>
      <c r="U83" s="64"/>
      <c r="V83" s="70"/>
    </row>
    <row r="84" spans="1:22" ht="48" customHeight="1" x14ac:dyDescent="0.25">
      <c r="A84" s="54">
        <v>78</v>
      </c>
      <c r="B84" s="54">
        <v>3009507</v>
      </c>
      <c r="C84" s="55" t="s">
        <v>170</v>
      </c>
      <c r="D84" s="74" t="s">
        <v>161</v>
      </c>
      <c r="E84" s="62" t="s">
        <v>119</v>
      </c>
      <c r="F84" s="56" t="s">
        <v>231</v>
      </c>
      <c r="G84" s="55">
        <v>1</v>
      </c>
      <c r="H84" s="75"/>
      <c r="I84" s="61"/>
      <c r="J84" s="54"/>
      <c r="K84" s="60">
        <v>1</v>
      </c>
      <c r="L84" s="59"/>
      <c r="M84" s="55">
        <v>1</v>
      </c>
      <c r="N84" s="62"/>
      <c r="O84" s="54"/>
      <c r="P84" s="54"/>
      <c r="Q84" s="60"/>
      <c r="R84" s="63"/>
      <c r="S84" s="61"/>
      <c r="T84" s="75">
        <v>1</v>
      </c>
      <c r="U84" s="64"/>
      <c r="V84" s="76"/>
    </row>
    <row r="85" spans="1:22" ht="50.25" customHeight="1" x14ac:dyDescent="0.25">
      <c r="A85" s="55">
        <v>79</v>
      </c>
      <c r="B85" s="55">
        <v>3013051</v>
      </c>
      <c r="C85" s="55" t="s">
        <v>170</v>
      </c>
      <c r="D85" s="56" t="s">
        <v>136</v>
      </c>
      <c r="E85" s="78" t="s">
        <v>272</v>
      </c>
      <c r="F85" s="78" t="s">
        <v>167</v>
      </c>
      <c r="G85" s="55">
        <v>1</v>
      </c>
      <c r="H85" s="66"/>
      <c r="I85" s="61">
        <v>1</v>
      </c>
      <c r="J85" s="54"/>
      <c r="K85" s="60"/>
      <c r="L85" s="69"/>
      <c r="M85" s="55">
        <v>1</v>
      </c>
      <c r="N85" s="62"/>
      <c r="O85" s="54"/>
      <c r="P85" s="54"/>
      <c r="Q85" s="60"/>
      <c r="R85" s="63"/>
      <c r="S85" s="69"/>
      <c r="T85" s="66">
        <v>1</v>
      </c>
      <c r="U85" s="81"/>
      <c r="V85" s="54"/>
    </row>
    <row r="86" spans="1:22" ht="51.75" customHeight="1" x14ac:dyDescent="0.25">
      <c r="A86" s="54">
        <v>80</v>
      </c>
      <c r="B86" s="55">
        <v>3013044</v>
      </c>
      <c r="C86" s="55" t="s">
        <v>170</v>
      </c>
      <c r="D86" s="56" t="s">
        <v>307</v>
      </c>
      <c r="E86" s="62" t="s">
        <v>2</v>
      </c>
      <c r="F86" s="56" t="s">
        <v>395</v>
      </c>
      <c r="G86" s="55">
        <v>1</v>
      </c>
      <c r="H86" s="58"/>
      <c r="I86" s="89"/>
      <c r="J86" s="54">
        <v>1</v>
      </c>
      <c r="K86" s="60"/>
      <c r="L86" s="61"/>
      <c r="M86" s="55">
        <v>1</v>
      </c>
      <c r="N86" s="62"/>
      <c r="O86" s="54"/>
      <c r="P86" s="54"/>
      <c r="Q86" s="60"/>
      <c r="R86" s="63"/>
      <c r="S86" s="61">
        <v>1</v>
      </c>
      <c r="T86" s="58"/>
      <c r="U86" s="64"/>
      <c r="V86" s="55"/>
    </row>
    <row r="87" spans="1:22" ht="52.5" customHeight="1" x14ac:dyDescent="0.3">
      <c r="A87" s="55">
        <v>81</v>
      </c>
      <c r="B87" s="54">
        <v>3014807</v>
      </c>
      <c r="C87" s="54" t="s">
        <v>170</v>
      </c>
      <c r="D87" s="74" t="s">
        <v>125</v>
      </c>
      <c r="E87" s="78" t="s">
        <v>2</v>
      </c>
      <c r="F87" s="67" t="s">
        <v>389</v>
      </c>
      <c r="G87" s="55">
        <v>1</v>
      </c>
      <c r="H87" s="68"/>
      <c r="I87" s="59">
        <v>1</v>
      </c>
      <c r="J87" s="83"/>
      <c r="K87" s="84"/>
      <c r="L87" s="71"/>
      <c r="M87" s="55">
        <v>1</v>
      </c>
      <c r="N87" s="82"/>
      <c r="O87" s="83"/>
      <c r="P87" s="83"/>
      <c r="Q87" s="84"/>
      <c r="R87" s="63"/>
      <c r="S87" s="71"/>
      <c r="T87" s="68">
        <v>1</v>
      </c>
      <c r="U87" s="72"/>
      <c r="V87" s="70"/>
    </row>
    <row r="88" spans="1:22" ht="53.25" customHeight="1" x14ac:dyDescent="0.25">
      <c r="A88" s="54">
        <v>82</v>
      </c>
      <c r="B88" s="55">
        <v>3013250</v>
      </c>
      <c r="C88" s="55" t="s">
        <v>170</v>
      </c>
      <c r="D88" s="56" t="s">
        <v>308</v>
      </c>
      <c r="E88" s="57" t="s">
        <v>242</v>
      </c>
      <c r="F88" s="56" t="s">
        <v>192</v>
      </c>
      <c r="G88" s="55">
        <v>1</v>
      </c>
      <c r="H88" s="58"/>
      <c r="I88" s="69"/>
      <c r="J88" s="54">
        <v>1</v>
      </c>
      <c r="K88" s="60"/>
      <c r="L88" s="61"/>
      <c r="M88" s="55">
        <v>1</v>
      </c>
      <c r="N88" s="62"/>
      <c r="O88" s="54"/>
      <c r="P88" s="54"/>
      <c r="Q88" s="60"/>
      <c r="R88" s="63"/>
      <c r="S88" s="61">
        <v>1</v>
      </c>
      <c r="T88" s="58"/>
      <c r="U88" s="64"/>
      <c r="V88" s="55"/>
    </row>
    <row r="89" spans="1:22" ht="57" customHeight="1" x14ac:dyDescent="0.25">
      <c r="A89" s="55">
        <v>83</v>
      </c>
      <c r="B89" s="55">
        <v>3009166</v>
      </c>
      <c r="C89" s="55" t="s">
        <v>74</v>
      </c>
      <c r="D89" s="56" t="s">
        <v>163</v>
      </c>
      <c r="E89" s="57" t="s">
        <v>124</v>
      </c>
      <c r="F89" s="56" t="s">
        <v>123</v>
      </c>
      <c r="G89" s="55">
        <v>1</v>
      </c>
      <c r="H89" s="58"/>
      <c r="I89" s="69">
        <v>1</v>
      </c>
      <c r="J89" s="54"/>
      <c r="K89" s="60"/>
      <c r="L89" s="61">
        <v>1</v>
      </c>
      <c r="M89" s="55"/>
      <c r="N89" s="62" t="s">
        <v>545</v>
      </c>
      <c r="O89" s="54"/>
      <c r="P89" s="54">
        <v>1</v>
      </c>
      <c r="Q89" s="60"/>
      <c r="R89" s="63"/>
      <c r="S89" s="61"/>
      <c r="T89" s="58">
        <v>1</v>
      </c>
      <c r="U89" s="64">
        <v>1</v>
      </c>
      <c r="V89" s="55"/>
    </row>
    <row r="90" spans="1:22" ht="52.5" customHeight="1" x14ac:dyDescent="0.25">
      <c r="A90" s="54">
        <v>84</v>
      </c>
      <c r="B90" s="55">
        <v>3014790</v>
      </c>
      <c r="C90" s="55" t="s">
        <v>74</v>
      </c>
      <c r="D90" s="56" t="s">
        <v>490</v>
      </c>
      <c r="E90" s="57" t="s">
        <v>185</v>
      </c>
      <c r="F90" s="56" t="s">
        <v>167</v>
      </c>
      <c r="G90" s="55">
        <v>1</v>
      </c>
      <c r="H90" s="68"/>
      <c r="I90" s="59">
        <v>1</v>
      </c>
      <c r="J90" s="54"/>
      <c r="K90" s="60"/>
      <c r="L90" s="71">
        <v>1</v>
      </c>
      <c r="M90" s="70"/>
      <c r="N90" s="62" t="s">
        <v>567</v>
      </c>
      <c r="O90" s="54"/>
      <c r="P90" s="54"/>
      <c r="Q90" s="60">
        <v>1</v>
      </c>
      <c r="R90" s="63"/>
      <c r="S90" s="61">
        <v>1</v>
      </c>
      <c r="T90" s="68"/>
      <c r="U90" s="64"/>
      <c r="V90" s="70">
        <v>1</v>
      </c>
    </row>
    <row r="91" spans="1:22" ht="58.5" customHeight="1" x14ac:dyDescent="0.25">
      <c r="A91" s="55">
        <v>85</v>
      </c>
      <c r="B91" s="55">
        <v>7526905</v>
      </c>
      <c r="C91" s="55" t="s">
        <v>74</v>
      </c>
      <c r="D91" s="56" t="s">
        <v>491</v>
      </c>
      <c r="E91" s="57" t="s">
        <v>456</v>
      </c>
      <c r="F91" s="56" t="s">
        <v>200</v>
      </c>
      <c r="G91" s="55">
        <v>1</v>
      </c>
      <c r="H91" s="68"/>
      <c r="I91" s="69"/>
      <c r="J91" s="54">
        <v>1</v>
      </c>
      <c r="K91" s="60"/>
      <c r="L91" s="61">
        <v>1</v>
      </c>
      <c r="M91" s="70"/>
      <c r="N91" s="62" t="s">
        <v>546</v>
      </c>
      <c r="O91" s="54"/>
      <c r="P91" s="54">
        <v>1</v>
      </c>
      <c r="Q91" s="60"/>
      <c r="R91" s="63"/>
      <c r="S91" s="61">
        <v>1</v>
      </c>
      <c r="T91" s="68"/>
      <c r="U91" s="64"/>
      <c r="V91" s="70">
        <v>1</v>
      </c>
    </row>
    <row r="92" spans="1:22" ht="54.75" customHeight="1" x14ac:dyDescent="0.25">
      <c r="A92" s="54">
        <v>86</v>
      </c>
      <c r="B92" s="54">
        <v>7526077</v>
      </c>
      <c r="C92" s="54" t="s">
        <v>74</v>
      </c>
      <c r="D92" s="74" t="s">
        <v>344</v>
      </c>
      <c r="E92" s="77" t="s">
        <v>492</v>
      </c>
      <c r="F92" s="57" t="s">
        <v>493</v>
      </c>
      <c r="G92" s="55">
        <v>1</v>
      </c>
      <c r="H92" s="68"/>
      <c r="I92" s="69"/>
      <c r="J92" s="54"/>
      <c r="K92" s="60">
        <v>1</v>
      </c>
      <c r="L92" s="61">
        <v>1</v>
      </c>
      <c r="M92" s="70"/>
      <c r="N92" s="62" t="s">
        <v>564</v>
      </c>
      <c r="O92" s="54"/>
      <c r="P92" s="54">
        <v>1</v>
      </c>
      <c r="Q92" s="60"/>
      <c r="R92" s="63"/>
      <c r="S92" s="61"/>
      <c r="T92" s="68">
        <v>1</v>
      </c>
      <c r="U92" s="64">
        <v>1</v>
      </c>
      <c r="V92" s="70"/>
    </row>
    <row r="93" spans="1:22" ht="54" customHeight="1" x14ac:dyDescent="0.25">
      <c r="A93" s="55">
        <v>87</v>
      </c>
      <c r="B93" s="54">
        <v>7516681</v>
      </c>
      <c r="C93" s="54" t="s">
        <v>74</v>
      </c>
      <c r="D93" s="78" t="s">
        <v>122</v>
      </c>
      <c r="E93" s="57" t="s">
        <v>325</v>
      </c>
      <c r="F93" s="56" t="s">
        <v>169</v>
      </c>
      <c r="G93" s="55">
        <v>1</v>
      </c>
      <c r="H93" s="58"/>
      <c r="I93" s="69"/>
      <c r="J93" s="54">
        <v>1</v>
      </c>
      <c r="K93" s="60"/>
      <c r="L93" s="61"/>
      <c r="M93" s="55">
        <v>1</v>
      </c>
      <c r="N93" s="62"/>
      <c r="O93" s="54"/>
      <c r="P93" s="54"/>
      <c r="Q93" s="60"/>
      <c r="R93" s="63"/>
      <c r="S93" s="61"/>
      <c r="T93" s="58">
        <v>1</v>
      </c>
      <c r="U93" s="64"/>
      <c r="V93" s="55"/>
    </row>
    <row r="94" spans="1:22" ht="51" customHeight="1" x14ac:dyDescent="0.25">
      <c r="A94" s="54">
        <v>88</v>
      </c>
      <c r="B94" s="54">
        <v>3007758</v>
      </c>
      <c r="C94" s="54" t="s">
        <v>74</v>
      </c>
      <c r="D94" s="77" t="s">
        <v>166</v>
      </c>
      <c r="E94" s="78" t="s">
        <v>203</v>
      </c>
      <c r="F94" s="62" t="s">
        <v>123</v>
      </c>
      <c r="G94" s="55">
        <v>1</v>
      </c>
      <c r="H94" s="66"/>
      <c r="I94" s="59"/>
      <c r="J94" s="54">
        <v>1</v>
      </c>
      <c r="K94" s="60"/>
      <c r="L94" s="61">
        <v>1</v>
      </c>
      <c r="M94" s="54"/>
      <c r="N94" s="62" t="s">
        <v>552</v>
      </c>
      <c r="O94" s="54"/>
      <c r="P94" s="54"/>
      <c r="Q94" s="60">
        <v>1</v>
      </c>
      <c r="R94" s="63"/>
      <c r="S94" s="59">
        <v>1</v>
      </c>
      <c r="T94" s="66"/>
      <c r="U94" s="73"/>
      <c r="V94" s="54">
        <v>1</v>
      </c>
    </row>
    <row r="95" spans="1:22" ht="53.25" customHeight="1" x14ac:dyDescent="0.25">
      <c r="A95" s="55">
        <v>89</v>
      </c>
      <c r="B95" s="54">
        <v>3007876</v>
      </c>
      <c r="C95" s="54" t="s">
        <v>74</v>
      </c>
      <c r="D95" s="77" t="s">
        <v>165</v>
      </c>
      <c r="E95" s="78" t="s">
        <v>81</v>
      </c>
      <c r="F95" s="77" t="s">
        <v>494</v>
      </c>
      <c r="G95" s="55">
        <v>1</v>
      </c>
      <c r="H95" s="66"/>
      <c r="I95" s="69"/>
      <c r="J95" s="54"/>
      <c r="K95" s="60">
        <v>1</v>
      </c>
      <c r="L95" s="69"/>
      <c r="M95" s="54">
        <v>1</v>
      </c>
      <c r="N95" s="62"/>
      <c r="O95" s="54"/>
      <c r="P95" s="54"/>
      <c r="Q95" s="60"/>
      <c r="R95" s="63"/>
      <c r="S95" s="59"/>
      <c r="T95" s="66">
        <v>1</v>
      </c>
      <c r="U95" s="73"/>
      <c r="V95" s="54"/>
    </row>
    <row r="96" spans="1:22" ht="50.25" customHeight="1" x14ac:dyDescent="0.25">
      <c r="A96" s="54">
        <v>90</v>
      </c>
      <c r="B96" s="55">
        <v>3013754</v>
      </c>
      <c r="C96" s="55" t="s">
        <v>74</v>
      </c>
      <c r="D96" s="56" t="s">
        <v>102</v>
      </c>
      <c r="E96" s="56" t="s">
        <v>339</v>
      </c>
      <c r="F96" s="67" t="s">
        <v>60</v>
      </c>
      <c r="G96" s="55">
        <v>1</v>
      </c>
      <c r="H96" s="66"/>
      <c r="I96" s="69">
        <v>1</v>
      </c>
      <c r="J96" s="54"/>
      <c r="K96" s="60"/>
      <c r="L96" s="69"/>
      <c r="M96" s="54">
        <v>1</v>
      </c>
      <c r="N96" s="62"/>
      <c r="O96" s="54"/>
      <c r="P96" s="54"/>
      <c r="Q96" s="60"/>
      <c r="R96" s="63"/>
      <c r="S96" s="71"/>
      <c r="T96" s="66">
        <v>1</v>
      </c>
      <c r="U96" s="72"/>
      <c r="V96" s="54"/>
    </row>
    <row r="97" spans="1:22" ht="52.5" customHeight="1" x14ac:dyDescent="0.25">
      <c r="A97" s="55">
        <v>91</v>
      </c>
      <c r="B97" s="55">
        <v>3013482</v>
      </c>
      <c r="C97" s="55" t="s">
        <v>74</v>
      </c>
      <c r="D97" s="56" t="s">
        <v>95</v>
      </c>
      <c r="E97" s="78" t="s">
        <v>0</v>
      </c>
      <c r="F97" s="57" t="s">
        <v>60</v>
      </c>
      <c r="G97" s="55">
        <v>1</v>
      </c>
      <c r="H97" s="66"/>
      <c r="I97" s="87"/>
      <c r="J97" s="54"/>
      <c r="K97" s="60">
        <v>1</v>
      </c>
      <c r="L97" s="69"/>
      <c r="M97" s="54">
        <v>1</v>
      </c>
      <c r="N97" s="76"/>
      <c r="O97" s="54"/>
      <c r="P97" s="54"/>
      <c r="Q97" s="60"/>
      <c r="R97" s="63"/>
      <c r="S97" s="61"/>
      <c r="T97" s="66">
        <v>1</v>
      </c>
      <c r="U97" s="64"/>
      <c r="V97" s="54"/>
    </row>
    <row r="98" spans="1:22" ht="51" customHeight="1" x14ac:dyDescent="0.25">
      <c r="A98" s="54">
        <v>92</v>
      </c>
      <c r="B98" s="54">
        <v>3013664</v>
      </c>
      <c r="C98" s="54" t="s">
        <v>74</v>
      </c>
      <c r="D98" s="78" t="s">
        <v>320</v>
      </c>
      <c r="E98" s="57" t="s">
        <v>66</v>
      </c>
      <c r="F98" s="67" t="s">
        <v>1</v>
      </c>
      <c r="G98" s="70">
        <v>1</v>
      </c>
      <c r="H98" s="68"/>
      <c r="I98" s="59">
        <v>1</v>
      </c>
      <c r="J98" s="54"/>
      <c r="K98" s="60"/>
      <c r="L98" s="71"/>
      <c r="M98" s="70">
        <v>1</v>
      </c>
      <c r="N98" s="62"/>
      <c r="O98" s="54"/>
      <c r="P98" s="54"/>
      <c r="Q98" s="60"/>
      <c r="R98" s="63"/>
      <c r="S98" s="71">
        <v>1</v>
      </c>
      <c r="T98" s="68"/>
      <c r="U98" s="72"/>
      <c r="V98" s="70"/>
    </row>
    <row r="99" spans="1:22" ht="55.5" customHeight="1" x14ac:dyDescent="0.3">
      <c r="A99" s="55">
        <v>93</v>
      </c>
      <c r="B99" s="54">
        <v>7520898</v>
      </c>
      <c r="C99" s="54" t="s">
        <v>74</v>
      </c>
      <c r="D99" s="78" t="s">
        <v>116</v>
      </c>
      <c r="E99" s="57" t="s">
        <v>2</v>
      </c>
      <c r="F99" s="56" t="s">
        <v>496</v>
      </c>
      <c r="G99" s="55">
        <v>1</v>
      </c>
      <c r="H99" s="66"/>
      <c r="I99" s="87"/>
      <c r="J99" s="54">
        <v>1</v>
      </c>
      <c r="K99" s="60"/>
      <c r="L99" s="69"/>
      <c r="M99" s="55">
        <v>1</v>
      </c>
      <c r="N99" s="82"/>
      <c r="O99" s="83"/>
      <c r="P99" s="83"/>
      <c r="Q99" s="84"/>
      <c r="R99" s="63"/>
      <c r="S99" s="61"/>
      <c r="T99" s="66">
        <v>1</v>
      </c>
      <c r="U99" s="64"/>
      <c r="V99" s="54"/>
    </row>
    <row r="100" spans="1:22" ht="49.5" customHeight="1" x14ac:dyDescent="0.25">
      <c r="A100" s="54">
        <v>94</v>
      </c>
      <c r="B100" s="54">
        <v>3014288</v>
      </c>
      <c r="C100" s="54" t="s">
        <v>74</v>
      </c>
      <c r="D100" s="78" t="s">
        <v>315</v>
      </c>
      <c r="E100" s="62" t="s">
        <v>71</v>
      </c>
      <c r="F100" s="62" t="s">
        <v>70</v>
      </c>
      <c r="G100" s="55">
        <v>1</v>
      </c>
      <c r="H100" s="66"/>
      <c r="I100" s="61"/>
      <c r="J100" s="54">
        <v>1</v>
      </c>
      <c r="K100" s="60"/>
      <c r="L100" s="69"/>
      <c r="M100" s="55">
        <v>1</v>
      </c>
      <c r="N100" s="62"/>
      <c r="O100" s="54"/>
      <c r="P100" s="54"/>
      <c r="Q100" s="60"/>
      <c r="R100" s="63"/>
      <c r="S100" s="59"/>
      <c r="T100" s="66">
        <v>1</v>
      </c>
      <c r="U100" s="73"/>
      <c r="V100" s="54"/>
    </row>
    <row r="101" spans="1:22" ht="51.75" customHeight="1" x14ac:dyDescent="0.3">
      <c r="A101" s="55">
        <v>95</v>
      </c>
      <c r="B101" s="54">
        <v>3014295</v>
      </c>
      <c r="C101" s="54" t="s">
        <v>74</v>
      </c>
      <c r="D101" s="78" t="s">
        <v>86</v>
      </c>
      <c r="E101" s="62" t="s">
        <v>451</v>
      </c>
      <c r="F101" s="77" t="s">
        <v>497</v>
      </c>
      <c r="G101" s="55">
        <v>1</v>
      </c>
      <c r="H101" s="58"/>
      <c r="I101" s="87"/>
      <c r="J101" s="83"/>
      <c r="K101" s="84">
        <v>1</v>
      </c>
      <c r="L101" s="61"/>
      <c r="M101" s="55">
        <v>1</v>
      </c>
      <c r="N101" s="82"/>
      <c r="O101" s="83"/>
      <c r="P101" s="83"/>
      <c r="Q101" s="84"/>
      <c r="R101" s="63"/>
      <c r="S101" s="59"/>
      <c r="T101" s="58">
        <v>1</v>
      </c>
      <c r="U101" s="73"/>
      <c r="V101" s="55"/>
    </row>
    <row r="102" spans="1:22" ht="51.75" customHeight="1" x14ac:dyDescent="0.25">
      <c r="A102" s="54">
        <v>96</v>
      </c>
      <c r="B102" s="54">
        <v>3014299</v>
      </c>
      <c r="C102" s="54" t="s">
        <v>74</v>
      </c>
      <c r="D102" s="78" t="s">
        <v>76</v>
      </c>
      <c r="E102" s="57" t="s">
        <v>2</v>
      </c>
      <c r="F102" s="57" t="s">
        <v>396</v>
      </c>
      <c r="G102" s="55">
        <v>1</v>
      </c>
      <c r="H102" s="66"/>
      <c r="I102" s="85"/>
      <c r="J102" s="54"/>
      <c r="K102" s="60">
        <v>1</v>
      </c>
      <c r="L102" s="69"/>
      <c r="M102" s="55">
        <v>1</v>
      </c>
      <c r="N102" s="62"/>
      <c r="O102" s="54"/>
      <c r="P102" s="54"/>
      <c r="Q102" s="60"/>
      <c r="R102" s="63"/>
      <c r="S102" s="61"/>
      <c r="T102" s="66">
        <v>1</v>
      </c>
      <c r="U102" s="64"/>
      <c r="V102" s="54"/>
    </row>
    <row r="103" spans="1:22" ht="52.5" customHeight="1" x14ac:dyDescent="0.25">
      <c r="A103" s="55">
        <v>97</v>
      </c>
      <c r="B103" s="54">
        <v>3014312</v>
      </c>
      <c r="C103" s="54" t="s">
        <v>74</v>
      </c>
      <c r="D103" s="77" t="s">
        <v>67</v>
      </c>
      <c r="E103" s="78" t="s">
        <v>336</v>
      </c>
      <c r="F103" s="67" t="s">
        <v>1</v>
      </c>
      <c r="G103" s="55">
        <v>1</v>
      </c>
      <c r="H103" s="66"/>
      <c r="I103" s="61"/>
      <c r="J103" s="54">
        <v>1</v>
      </c>
      <c r="K103" s="60"/>
      <c r="L103" s="69"/>
      <c r="M103" s="55">
        <v>1</v>
      </c>
      <c r="N103" s="62"/>
      <c r="O103" s="54"/>
      <c r="P103" s="54"/>
      <c r="Q103" s="60"/>
      <c r="R103" s="63"/>
      <c r="S103" s="71"/>
      <c r="T103" s="66">
        <v>1</v>
      </c>
      <c r="U103" s="72"/>
      <c r="V103" s="54"/>
    </row>
    <row r="104" spans="1:22" ht="53.25" customHeight="1" x14ac:dyDescent="0.25">
      <c r="A104" s="54">
        <v>98</v>
      </c>
      <c r="B104" s="54">
        <v>3014335</v>
      </c>
      <c r="C104" s="54" t="s">
        <v>74</v>
      </c>
      <c r="D104" s="77" t="s">
        <v>92</v>
      </c>
      <c r="E104" s="86" t="s">
        <v>498</v>
      </c>
      <c r="F104" s="67" t="s">
        <v>1</v>
      </c>
      <c r="G104" s="55">
        <v>1</v>
      </c>
      <c r="H104" s="68"/>
      <c r="I104" s="61"/>
      <c r="J104" s="54">
        <v>1</v>
      </c>
      <c r="K104" s="60"/>
      <c r="L104" s="71"/>
      <c r="M104" s="55">
        <v>1</v>
      </c>
      <c r="N104" s="62"/>
      <c r="O104" s="54"/>
      <c r="P104" s="54"/>
      <c r="Q104" s="60"/>
      <c r="R104" s="63"/>
      <c r="S104" s="71"/>
      <c r="T104" s="68">
        <v>1</v>
      </c>
      <c r="U104" s="72"/>
      <c r="V104" s="70"/>
    </row>
    <row r="105" spans="1:22" ht="53.25" customHeight="1" x14ac:dyDescent="0.25">
      <c r="A105" s="55">
        <v>99</v>
      </c>
      <c r="B105" s="54">
        <v>3014345</v>
      </c>
      <c r="C105" s="54" t="s">
        <v>74</v>
      </c>
      <c r="D105" s="62" t="s">
        <v>79</v>
      </c>
      <c r="E105" s="57" t="s">
        <v>109</v>
      </c>
      <c r="F105" s="56" t="s">
        <v>1</v>
      </c>
      <c r="G105" s="55">
        <v>1</v>
      </c>
      <c r="H105" s="66"/>
      <c r="I105" s="59">
        <v>1</v>
      </c>
      <c r="J105" s="54"/>
      <c r="K105" s="60"/>
      <c r="L105" s="69"/>
      <c r="M105" s="55">
        <v>1</v>
      </c>
      <c r="N105" s="62"/>
      <c r="O105" s="54"/>
      <c r="P105" s="54"/>
      <c r="Q105" s="60"/>
      <c r="R105" s="63"/>
      <c r="S105" s="61"/>
      <c r="T105" s="66">
        <v>1</v>
      </c>
      <c r="U105" s="64"/>
      <c r="V105" s="54"/>
    </row>
    <row r="106" spans="1:22" ht="52.5" customHeight="1" x14ac:dyDescent="0.25">
      <c r="A106" s="54">
        <v>100</v>
      </c>
      <c r="B106" s="55">
        <v>7526134</v>
      </c>
      <c r="C106" s="55" t="s">
        <v>74</v>
      </c>
      <c r="D106" s="56" t="s">
        <v>50</v>
      </c>
      <c r="E106" s="74" t="s">
        <v>476</v>
      </c>
      <c r="F106" s="74" t="s">
        <v>499</v>
      </c>
      <c r="G106" s="55">
        <v>1</v>
      </c>
      <c r="H106" s="58"/>
      <c r="I106" s="59"/>
      <c r="J106" s="54">
        <v>1</v>
      </c>
      <c r="K106" s="60"/>
      <c r="L106" s="61"/>
      <c r="M106" s="55">
        <v>1</v>
      </c>
      <c r="N106" s="62"/>
      <c r="O106" s="54"/>
      <c r="P106" s="54"/>
      <c r="Q106" s="60"/>
      <c r="R106" s="63"/>
      <c r="S106" s="69"/>
      <c r="T106" s="58">
        <v>1</v>
      </c>
      <c r="U106" s="81"/>
      <c r="V106" s="55"/>
    </row>
    <row r="107" spans="1:22" ht="53.25" customHeight="1" x14ac:dyDescent="0.25">
      <c r="A107" s="55">
        <v>101</v>
      </c>
      <c r="B107" s="54">
        <v>3015491</v>
      </c>
      <c r="C107" s="54" t="s">
        <v>74</v>
      </c>
      <c r="D107" s="77" t="s">
        <v>500</v>
      </c>
      <c r="E107" s="67" t="s">
        <v>2</v>
      </c>
      <c r="F107" s="67" t="s">
        <v>304</v>
      </c>
      <c r="G107" s="55">
        <v>1</v>
      </c>
      <c r="H107" s="68"/>
      <c r="I107" s="61"/>
      <c r="J107" s="54">
        <v>1</v>
      </c>
      <c r="K107" s="60"/>
      <c r="L107" s="61">
        <v>1</v>
      </c>
      <c r="M107" s="70"/>
      <c r="N107" s="62" t="s">
        <v>543</v>
      </c>
      <c r="O107" s="54"/>
      <c r="P107" s="54">
        <v>1</v>
      </c>
      <c r="Q107" s="60"/>
      <c r="R107" s="63"/>
      <c r="S107" s="71">
        <v>1</v>
      </c>
      <c r="T107" s="68"/>
      <c r="U107" s="72"/>
      <c r="V107" s="70">
        <v>1</v>
      </c>
    </row>
    <row r="108" spans="1:22" ht="53.25" customHeight="1" x14ac:dyDescent="0.25">
      <c r="A108" s="54">
        <v>102</v>
      </c>
      <c r="B108" s="54">
        <v>3014863</v>
      </c>
      <c r="C108" s="54" t="s">
        <v>74</v>
      </c>
      <c r="D108" s="78" t="s">
        <v>100</v>
      </c>
      <c r="E108" s="57" t="s">
        <v>451</v>
      </c>
      <c r="F108" s="57" t="s">
        <v>149</v>
      </c>
      <c r="G108" s="55">
        <v>1</v>
      </c>
      <c r="H108" s="66"/>
      <c r="I108" s="69">
        <v>1</v>
      </c>
      <c r="J108" s="54"/>
      <c r="K108" s="60"/>
      <c r="L108" s="61">
        <v>1</v>
      </c>
      <c r="M108" s="54"/>
      <c r="N108" s="62" t="s">
        <v>555</v>
      </c>
      <c r="O108" s="54">
        <v>1</v>
      </c>
      <c r="P108" s="54"/>
      <c r="Q108" s="60"/>
      <c r="R108" s="63"/>
      <c r="S108" s="61">
        <v>1</v>
      </c>
      <c r="T108" s="66"/>
      <c r="U108" s="64"/>
      <c r="V108" s="54">
        <v>1</v>
      </c>
    </row>
    <row r="109" spans="1:22" ht="53.25" customHeight="1" x14ac:dyDescent="0.25">
      <c r="A109" s="55">
        <v>103</v>
      </c>
      <c r="B109" s="54">
        <v>3015165</v>
      </c>
      <c r="C109" s="54" t="s">
        <v>74</v>
      </c>
      <c r="D109" s="78" t="s">
        <v>84</v>
      </c>
      <c r="E109" s="57" t="s">
        <v>144</v>
      </c>
      <c r="F109" s="74" t="s">
        <v>1</v>
      </c>
      <c r="G109" s="55">
        <v>1</v>
      </c>
      <c r="H109" s="66"/>
      <c r="I109" s="59"/>
      <c r="J109" s="54">
        <v>1</v>
      </c>
      <c r="K109" s="60"/>
      <c r="L109" s="69"/>
      <c r="M109" s="55">
        <v>1</v>
      </c>
      <c r="N109" s="77"/>
      <c r="O109" s="54"/>
      <c r="P109" s="54"/>
      <c r="Q109" s="60"/>
      <c r="R109" s="63"/>
      <c r="S109" s="69"/>
      <c r="T109" s="66">
        <v>1</v>
      </c>
      <c r="U109" s="81"/>
      <c r="V109" s="54"/>
    </row>
    <row r="110" spans="1:22" ht="52.5" customHeight="1" x14ac:dyDescent="0.25">
      <c r="A110" s="54">
        <v>104</v>
      </c>
      <c r="B110" s="54">
        <v>3015175</v>
      </c>
      <c r="C110" s="54" t="s">
        <v>74</v>
      </c>
      <c r="D110" s="62" t="s">
        <v>93</v>
      </c>
      <c r="E110" s="57" t="s">
        <v>131</v>
      </c>
      <c r="F110" s="56" t="s">
        <v>130</v>
      </c>
      <c r="G110" s="55">
        <v>1</v>
      </c>
      <c r="H110" s="66"/>
      <c r="I110" s="61"/>
      <c r="J110" s="54"/>
      <c r="K110" s="60">
        <v>1</v>
      </c>
      <c r="L110" s="69"/>
      <c r="M110" s="55">
        <v>1</v>
      </c>
      <c r="N110" s="62"/>
      <c r="O110" s="54"/>
      <c r="P110" s="54"/>
      <c r="Q110" s="60"/>
      <c r="R110" s="63"/>
      <c r="S110" s="61"/>
      <c r="T110" s="66">
        <v>1</v>
      </c>
      <c r="U110" s="64"/>
      <c r="V110" s="54"/>
    </row>
    <row r="111" spans="1:22" ht="52.5" customHeight="1" x14ac:dyDescent="0.25">
      <c r="A111" s="55">
        <v>105</v>
      </c>
      <c r="B111" s="54">
        <v>3015342</v>
      </c>
      <c r="C111" s="54" t="s">
        <v>74</v>
      </c>
      <c r="D111" s="62" t="s">
        <v>64</v>
      </c>
      <c r="E111" s="67" t="s">
        <v>2</v>
      </c>
      <c r="F111" s="67" t="s">
        <v>397</v>
      </c>
      <c r="G111" s="55">
        <v>1</v>
      </c>
      <c r="H111" s="66"/>
      <c r="I111" s="87"/>
      <c r="J111" s="54">
        <v>1</v>
      </c>
      <c r="K111" s="60"/>
      <c r="L111" s="69"/>
      <c r="M111" s="54">
        <v>1</v>
      </c>
      <c r="N111" s="62"/>
      <c r="O111" s="54"/>
      <c r="P111" s="54"/>
      <c r="Q111" s="60"/>
      <c r="R111" s="63"/>
      <c r="S111" s="71">
        <v>1</v>
      </c>
      <c r="T111" s="66"/>
      <c r="U111" s="72"/>
      <c r="V111" s="54"/>
    </row>
    <row r="112" spans="1:22" ht="53.25" customHeight="1" x14ac:dyDescent="0.25">
      <c r="A112" s="54">
        <v>106</v>
      </c>
      <c r="B112" s="54">
        <v>3015481</v>
      </c>
      <c r="C112" s="54" t="s">
        <v>74</v>
      </c>
      <c r="D112" s="62" t="s">
        <v>59</v>
      </c>
      <c r="E112" s="57" t="s">
        <v>271</v>
      </c>
      <c r="F112" s="56" t="s">
        <v>60</v>
      </c>
      <c r="G112" s="55">
        <v>1</v>
      </c>
      <c r="H112" s="58"/>
      <c r="I112" s="69">
        <v>1</v>
      </c>
      <c r="J112" s="54"/>
      <c r="K112" s="60"/>
      <c r="L112" s="61">
        <v>1</v>
      </c>
      <c r="M112" s="55"/>
      <c r="N112" s="62" t="s">
        <v>559</v>
      </c>
      <c r="O112" s="54">
        <v>1</v>
      </c>
      <c r="P112" s="54"/>
      <c r="Q112" s="60"/>
      <c r="R112" s="63"/>
      <c r="S112" s="61"/>
      <c r="T112" s="58">
        <v>1</v>
      </c>
      <c r="U112" s="64">
        <v>1</v>
      </c>
      <c r="V112" s="55"/>
    </row>
    <row r="113" spans="1:22" ht="52.5" customHeight="1" x14ac:dyDescent="0.25">
      <c r="A113" s="55">
        <v>107</v>
      </c>
      <c r="B113" s="54">
        <v>3015482</v>
      </c>
      <c r="C113" s="54" t="s">
        <v>74</v>
      </c>
      <c r="D113" s="62" t="s">
        <v>57</v>
      </c>
      <c r="E113" s="78" t="s">
        <v>131</v>
      </c>
      <c r="F113" s="57" t="s">
        <v>130</v>
      </c>
      <c r="G113" s="55">
        <v>1</v>
      </c>
      <c r="H113" s="58"/>
      <c r="I113" s="61">
        <v>1</v>
      </c>
      <c r="J113" s="54"/>
      <c r="K113" s="60"/>
      <c r="L113" s="61"/>
      <c r="M113" s="55">
        <v>1</v>
      </c>
      <c r="N113" s="62"/>
      <c r="O113" s="54"/>
      <c r="P113" s="54"/>
      <c r="Q113" s="60"/>
      <c r="R113" s="63"/>
      <c r="S113" s="61"/>
      <c r="T113" s="58">
        <v>1</v>
      </c>
      <c r="U113" s="64"/>
      <c r="V113" s="55"/>
    </row>
    <row r="114" spans="1:22" ht="53.25" customHeight="1" x14ac:dyDescent="0.25">
      <c r="A114" s="54">
        <v>108</v>
      </c>
      <c r="B114" s="55">
        <v>7520874</v>
      </c>
      <c r="C114" s="55" t="s">
        <v>74</v>
      </c>
      <c r="D114" s="74" t="s">
        <v>118</v>
      </c>
      <c r="E114" s="78" t="s">
        <v>23</v>
      </c>
      <c r="F114" s="78" t="s">
        <v>1</v>
      </c>
      <c r="G114" s="55">
        <v>1</v>
      </c>
      <c r="H114" s="66"/>
      <c r="I114" s="59">
        <v>1</v>
      </c>
      <c r="J114" s="54"/>
      <c r="K114" s="60"/>
      <c r="L114" s="69">
        <v>1</v>
      </c>
      <c r="M114" s="54"/>
      <c r="N114" s="62" t="s">
        <v>570</v>
      </c>
      <c r="O114" s="54"/>
      <c r="P114" s="54">
        <v>1</v>
      </c>
      <c r="Q114" s="60"/>
      <c r="R114" s="63"/>
      <c r="S114" s="69"/>
      <c r="T114" s="66">
        <v>1</v>
      </c>
      <c r="U114" s="81">
        <v>1</v>
      </c>
      <c r="V114" s="54"/>
    </row>
    <row r="115" spans="1:22" ht="53.25" customHeight="1" x14ac:dyDescent="0.25">
      <c r="A115" s="55">
        <v>109</v>
      </c>
      <c r="B115" s="55">
        <v>7522066</v>
      </c>
      <c r="C115" s="55" t="s">
        <v>74</v>
      </c>
      <c r="D115" s="74" t="s">
        <v>114</v>
      </c>
      <c r="E115" s="86" t="s">
        <v>323</v>
      </c>
      <c r="F115" s="67" t="s">
        <v>60</v>
      </c>
      <c r="G115" s="55">
        <v>1</v>
      </c>
      <c r="H115" s="66"/>
      <c r="I115" s="59">
        <v>1</v>
      </c>
      <c r="J115" s="54"/>
      <c r="K115" s="60"/>
      <c r="L115" s="69"/>
      <c r="M115" s="55">
        <v>1</v>
      </c>
      <c r="N115" s="62"/>
      <c r="O115" s="54"/>
      <c r="P115" s="54"/>
      <c r="Q115" s="60"/>
      <c r="R115" s="63"/>
      <c r="S115" s="71"/>
      <c r="T115" s="66">
        <v>1</v>
      </c>
      <c r="U115" s="72"/>
      <c r="V115" s="54"/>
    </row>
    <row r="116" spans="1:22" ht="14.4" x14ac:dyDescent="0.25">
      <c r="A116" s="54">
        <v>110</v>
      </c>
      <c r="B116" s="54">
        <v>7522806</v>
      </c>
      <c r="C116" s="54" t="s">
        <v>74</v>
      </c>
      <c r="D116" s="62" t="s">
        <v>97</v>
      </c>
      <c r="E116" s="78" t="s">
        <v>146</v>
      </c>
      <c r="F116" s="78" t="s">
        <v>60</v>
      </c>
      <c r="G116" s="55">
        <v>1</v>
      </c>
      <c r="H116" s="58"/>
      <c r="I116" s="59"/>
      <c r="J116" s="54">
        <v>1</v>
      </c>
      <c r="K116" s="60"/>
      <c r="L116" s="61"/>
      <c r="M116" s="55">
        <v>1</v>
      </c>
      <c r="N116" s="62"/>
      <c r="O116" s="54"/>
      <c r="P116" s="54"/>
      <c r="Q116" s="60"/>
      <c r="R116" s="63"/>
      <c r="S116" s="69"/>
      <c r="T116" s="58">
        <v>1</v>
      </c>
      <c r="U116" s="81"/>
      <c r="V116" s="55"/>
    </row>
    <row r="117" spans="1:22" ht="53.25" customHeight="1" x14ac:dyDescent="0.25">
      <c r="A117" s="55">
        <v>111</v>
      </c>
      <c r="B117" s="55">
        <v>7522828</v>
      </c>
      <c r="C117" s="55" t="s">
        <v>74</v>
      </c>
      <c r="D117" s="74" t="s">
        <v>112</v>
      </c>
      <c r="E117" s="57" t="s">
        <v>5</v>
      </c>
      <c r="F117" s="67" t="s">
        <v>4</v>
      </c>
      <c r="G117" s="55">
        <v>1</v>
      </c>
      <c r="H117" s="66"/>
      <c r="I117" s="61"/>
      <c r="J117" s="54">
        <v>1</v>
      </c>
      <c r="K117" s="60"/>
      <c r="L117" s="69"/>
      <c r="M117" s="54">
        <v>1</v>
      </c>
      <c r="N117" s="62"/>
      <c r="O117" s="54"/>
      <c r="P117" s="54"/>
      <c r="Q117" s="60"/>
      <c r="R117" s="63"/>
      <c r="S117" s="71"/>
      <c r="T117" s="66">
        <v>1</v>
      </c>
      <c r="U117" s="72"/>
      <c r="V117" s="54"/>
    </row>
    <row r="118" spans="1:22" ht="53.25" customHeight="1" x14ac:dyDescent="0.25">
      <c r="A118" s="54">
        <v>112</v>
      </c>
      <c r="B118" s="55">
        <v>7524332</v>
      </c>
      <c r="C118" s="55" t="s">
        <v>74</v>
      </c>
      <c r="D118" s="74" t="s">
        <v>77</v>
      </c>
      <c r="E118" s="78" t="s">
        <v>40</v>
      </c>
      <c r="F118" s="57" t="s">
        <v>1</v>
      </c>
      <c r="G118" s="55">
        <v>1</v>
      </c>
      <c r="H118" s="66"/>
      <c r="I118" s="69"/>
      <c r="J118" s="54"/>
      <c r="K118" s="60">
        <v>1</v>
      </c>
      <c r="L118" s="69"/>
      <c r="M118" s="55">
        <v>1</v>
      </c>
      <c r="N118" s="62"/>
      <c r="O118" s="54"/>
      <c r="P118" s="54"/>
      <c r="Q118" s="60"/>
      <c r="R118" s="63"/>
      <c r="S118" s="61"/>
      <c r="T118" s="66">
        <v>1</v>
      </c>
      <c r="U118" s="64"/>
      <c r="V118" s="80"/>
    </row>
    <row r="119" spans="1:22" ht="52.5" customHeight="1" x14ac:dyDescent="0.25">
      <c r="A119" s="55">
        <v>113</v>
      </c>
      <c r="B119" s="55">
        <v>7524662</v>
      </c>
      <c r="C119" s="55" t="s">
        <v>74</v>
      </c>
      <c r="D119" s="56" t="s">
        <v>52</v>
      </c>
      <c r="E119" s="76" t="s">
        <v>119</v>
      </c>
      <c r="F119" s="74" t="s">
        <v>60</v>
      </c>
      <c r="G119" s="55">
        <v>1</v>
      </c>
      <c r="H119" s="66"/>
      <c r="I119" s="69">
        <v>1</v>
      </c>
      <c r="J119" s="54"/>
      <c r="K119" s="60"/>
      <c r="L119" s="69"/>
      <c r="M119" s="55">
        <v>1</v>
      </c>
      <c r="N119" s="62"/>
      <c r="O119" s="54"/>
      <c r="P119" s="54"/>
      <c r="Q119" s="60"/>
      <c r="R119" s="63"/>
      <c r="S119" s="69"/>
      <c r="T119" s="66">
        <v>1</v>
      </c>
      <c r="U119" s="81"/>
      <c r="V119" s="80"/>
    </row>
    <row r="120" spans="1:22" ht="53.25" customHeight="1" x14ac:dyDescent="0.25">
      <c r="A120" s="54">
        <v>114</v>
      </c>
      <c r="B120" s="55">
        <v>7525036</v>
      </c>
      <c r="C120" s="55" t="s">
        <v>74</v>
      </c>
      <c r="D120" s="74" t="s">
        <v>343</v>
      </c>
      <c r="E120" s="57" t="s">
        <v>94</v>
      </c>
      <c r="F120" s="67" t="s">
        <v>60</v>
      </c>
      <c r="G120" s="55">
        <v>1</v>
      </c>
      <c r="H120" s="66"/>
      <c r="I120" s="69">
        <v>1</v>
      </c>
      <c r="J120" s="54"/>
      <c r="K120" s="60"/>
      <c r="L120" s="69"/>
      <c r="M120" s="54">
        <v>1</v>
      </c>
      <c r="N120" s="62"/>
      <c r="O120" s="54"/>
      <c r="P120" s="54"/>
      <c r="Q120" s="60"/>
      <c r="R120" s="63"/>
      <c r="S120" s="71"/>
      <c r="T120" s="58">
        <v>1</v>
      </c>
      <c r="U120" s="72"/>
      <c r="V120" s="80"/>
    </row>
    <row r="121" spans="1:22" ht="52.5" customHeight="1" x14ac:dyDescent="0.25">
      <c r="A121" s="55">
        <v>115</v>
      </c>
      <c r="B121" s="54">
        <v>7526808</v>
      </c>
      <c r="C121" s="54" t="s">
        <v>74</v>
      </c>
      <c r="D121" s="62" t="s">
        <v>317</v>
      </c>
      <c r="E121" s="78" t="s">
        <v>450</v>
      </c>
      <c r="F121" s="62" t="s">
        <v>128</v>
      </c>
      <c r="G121" s="55">
        <v>1</v>
      </c>
      <c r="H121" s="66"/>
      <c r="I121" s="69"/>
      <c r="J121" s="54">
        <v>1</v>
      </c>
      <c r="K121" s="60"/>
      <c r="L121" s="69">
        <v>1</v>
      </c>
      <c r="M121" s="54"/>
      <c r="N121" s="62" t="s">
        <v>568</v>
      </c>
      <c r="O121" s="54"/>
      <c r="P121" s="54"/>
      <c r="Q121" s="60">
        <v>1</v>
      </c>
      <c r="R121" s="63"/>
      <c r="S121" s="59">
        <v>1</v>
      </c>
      <c r="T121" s="79"/>
      <c r="U121" s="73"/>
      <c r="V121" s="54">
        <v>1</v>
      </c>
    </row>
    <row r="122" spans="1:22" ht="53.25" customHeight="1" x14ac:dyDescent="0.25">
      <c r="A122" s="54">
        <v>116</v>
      </c>
      <c r="B122" s="54">
        <v>7528023</v>
      </c>
      <c r="C122" s="54" t="s">
        <v>74</v>
      </c>
      <c r="D122" s="74" t="s">
        <v>99</v>
      </c>
      <c r="E122" s="78" t="s">
        <v>51</v>
      </c>
      <c r="F122" s="74" t="s">
        <v>1</v>
      </c>
      <c r="G122" s="55">
        <v>1</v>
      </c>
      <c r="H122" s="66"/>
      <c r="I122" s="69"/>
      <c r="J122" s="54">
        <v>1</v>
      </c>
      <c r="K122" s="60"/>
      <c r="L122" s="69"/>
      <c r="M122" s="54">
        <v>1</v>
      </c>
      <c r="N122" s="77"/>
      <c r="O122" s="54"/>
      <c r="P122" s="54"/>
      <c r="Q122" s="60"/>
      <c r="R122" s="63"/>
      <c r="S122" s="69">
        <v>1</v>
      </c>
      <c r="T122" s="79"/>
      <c r="U122" s="81"/>
      <c r="V122" s="54"/>
    </row>
    <row r="123" spans="1:22" ht="52.5" customHeight="1" x14ac:dyDescent="0.25">
      <c r="A123" s="55">
        <v>117</v>
      </c>
      <c r="B123" s="54">
        <v>7528887</v>
      </c>
      <c r="C123" s="54" t="s">
        <v>74</v>
      </c>
      <c r="D123" s="62" t="s">
        <v>345</v>
      </c>
      <c r="E123" s="78" t="s">
        <v>2</v>
      </c>
      <c r="F123" s="62" t="s">
        <v>314</v>
      </c>
      <c r="G123" s="55">
        <v>1</v>
      </c>
      <c r="H123" s="66"/>
      <c r="I123" s="69">
        <v>1</v>
      </c>
      <c r="J123" s="54"/>
      <c r="K123" s="60"/>
      <c r="L123" s="69"/>
      <c r="M123" s="55">
        <v>1</v>
      </c>
      <c r="N123" s="77"/>
      <c r="O123" s="54"/>
      <c r="P123" s="54"/>
      <c r="Q123" s="60"/>
      <c r="R123" s="63"/>
      <c r="S123" s="59">
        <v>1</v>
      </c>
      <c r="T123" s="79"/>
      <c r="U123" s="73"/>
      <c r="V123" s="54"/>
    </row>
    <row r="124" spans="1:22" ht="53.25" customHeight="1" x14ac:dyDescent="0.25">
      <c r="A124" s="54">
        <v>118</v>
      </c>
      <c r="B124" s="54">
        <v>7528920</v>
      </c>
      <c r="C124" s="54" t="s">
        <v>74</v>
      </c>
      <c r="D124" s="62" t="s">
        <v>82</v>
      </c>
      <c r="E124" s="57" t="s">
        <v>483</v>
      </c>
      <c r="F124" s="57" t="s">
        <v>60</v>
      </c>
      <c r="G124" s="55">
        <v>1</v>
      </c>
      <c r="H124" s="66"/>
      <c r="I124" s="69"/>
      <c r="J124" s="54">
        <v>1</v>
      </c>
      <c r="K124" s="60"/>
      <c r="L124" s="69"/>
      <c r="M124" s="54">
        <v>1</v>
      </c>
      <c r="N124" s="62"/>
      <c r="O124" s="54"/>
      <c r="P124" s="54"/>
      <c r="Q124" s="60"/>
      <c r="R124" s="63"/>
      <c r="S124" s="61">
        <v>1</v>
      </c>
      <c r="T124" s="79"/>
      <c r="U124" s="64"/>
      <c r="V124" s="54"/>
    </row>
    <row r="125" spans="1:22" ht="53.25" customHeight="1" x14ac:dyDescent="0.25">
      <c r="A125" s="55">
        <v>119</v>
      </c>
      <c r="B125" s="54">
        <v>3014988</v>
      </c>
      <c r="C125" s="54" t="s">
        <v>74</v>
      </c>
      <c r="D125" s="62" t="s">
        <v>48</v>
      </c>
      <c r="E125" s="57" t="s">
        <v>105</v>
      </c>
      <c r="F125" s="56" t="s">
        <v>1</v>
      </c>
      <c r="G125" s="55">
        <v>1</v>
      </c>
      <c r="H125" s="66"/>
      <c r="I125" s="69">
        <v>1</v>
      </c>
      <c r="J125" s="54"/>
      <c r="K125" s="60"/>
      <c r="L125" s="69">
        <v>1</v>
      </c>
      <c r="M125" s="55"/>
      <c r="N125" s="62" t="s">
        <v>619</v>
      </c>
      <c r="O125" s="54"/>
      <c r="P125" s="54">
        <v>1</v>
      </c>
      <c r="Q125" s="60"/>
      <c r="R125" s="63"/>
      <c r="S125" s="61"/>
      <c r="T125" s="58">
        <v>1</v>
      </c>
      <c r="U125" s="64">
        <v>1</v>
      </c>
      <c r="V125" s="80"/>
    </row>
    <row r="126" spans="1:22" ht="52.5" customHeight="1" x14ac:dyDescent="0.25">
      <c r="A126" s="54">
        <v>120</v>
      </c>
      <c r="B126" s="54">
        <v>3015032</v>
      </c>
      <c r="C126" s="54" t="s">
        <v>74</v>
      </c>
      <c r="D126" s="62" t="s">
        <v>43</v>
      </c>
      <c r="E126" s="78" t="s">
        <v>325</v>
      </c>
      <c r="F126" s="78" t="s">
        <v>60</v>
      </c>
      <c r="G126" s="55">
        <v>1</v>
      </c>
      <c r="H126" s="66"/>
      <c r="I126" s="69"/>
      <c r="J126" s="54">
        <v>1</v>
      </c>
      <c r="K126" s="60"/>
      <c r="L126" s="69"/>
      <c r="M126" s="54">
        <v>1</v>
      </c>
      <c r="N126" s="77"/>
      <c r="O126" s="54"/>
      <c r="P126" s="54"/>
      <c r="Q126" s="60"/>
      <c r="R126" s="63"/>
      <c r="S126" s="69"/>
      <c r="T126" s="66">
        <v>1</v>
      </c>
      <c r="U126" s="81"/>
      <c r="V126" s="80"/>
    </row>
    <row r="127" spans="1:22" ht="52.5" customHeight="1" x14ac:dyDescent="0.25">
      <c r="A127" s="55">
        <v>121</v>
      </c>
      <c r="B127" s="54">
        <v>7524494</v>
      </c>
      <c r="C127" s="54" t="s">
        <v>74</v>
      </c>
      <c r="D127" s="62" t="s">
        <v>399</v>
      </c>
      <c r="E127" s="67" t="s">
        <v>16</v>
      </c>
      <c r="F127" s="67" t="s">
        <v>1</v>
      </c>
      <c r="G127" s="54">
        <v>1</v>
      </c>
      <c r="H127" s="66"/>
      <c r="I127" s="69"/>
      <c r="J127" s="54">
        <v>1</v>
      </c>
      <c r="K127" s="60"/>
      <c r="L127" s="69"/>
      <c r="M127" s="54">
        <v>1</v>
      </c>
      <c r="N127" s="62"/>
      <c r="O127" s="54"/>
      <c r="P127" s="54"/>
      <c r="Q127" s="60"/>
      <c r="R127" s="63"/>
      <c r="S127" s="71"/>
      <c r="T127" s="66">
        <v>1</v>
      </c>
      <c r="U127" s="72"/>
      <c r="V127" s="80"/>
    </row>
    <row r="128" spans="1:22" ht="52.5" customHeight="1" x14ac:dyDescent="0.25">
      <c r="A128" s="54">
        <v>122</v>
      </c>
      <c r="B128" s="54">
        <v>3015908</v>
      </c>
      <c r="C128" s="54" t="s">
        <v>74</v>
      </c>
      <c r="D128" s="62" t="s">
        <v>34</v>
      </c>
      <c r="E128" s="78" t="s">
        <v>33</v>
      </c>
      <c r="F128" s="74" t="s">
        <v>32</v>
      </c>
      <c r="G128" s="55">
        <v>1</v>
      </c>
      <c r="H128" s="66"/>
      <c r="I128" s="69">
        <v>1</v>
      </c>
      <c r="J128" s="54"/>
      <c r="K128" s="60"/>
      <c r="L128" s="69"/>
      <c r="M128" s="55">
        <v>1</v>
      </c>
      <c r="N128" s="62"/>
      <c r="O128" s="54"/>
      <c r="P128" s="54"/>
      <c r="Q128" s="60"/>
      <c r="R128" s="63"/>
      <c r="S128" s="69"/>
      <c r="T128" s="66">
        <v>1</v>
      </c>
      <c r="U128" s="81"/>
      <c r="V128" s="80"/>
    </row>
    <row r="129" spans="1:22" ht="52.5" customHeight="1" x14ac:dyDescent="0.25">
      <c r="A129" s="55">
        <v>123</v>
      </c>
      <c r="B129" s="54">
        <v>7529865</v>
      </c>
      <c r="C129" s="54" t="s">
        <v>74</v>
      </c>
      <c r="D129" s="62" t="s">
        <v>29</v>
      </c>
      <c r="E129" s="57" t="s">
        <v>0</v>
      </c>
      <c r="F129" s="74" t="s">
        <v>348</v>
      </c>
      <c r="G129" s="55">
        <v>1</v>
      </c>
      <c r="H129" s="66"/>
      <c r="I129" s="59"/>
      <c r="J129" s="54">
        <v>1</v>
      </c>
      <c r="K129" s="60"/>
      <c r="L129" s="69"/>
      <c r="M129" s="55">
        <v>1</v>
      </c>
      <c r="N129" s="62"/>
      <c r="O129" s="54"/>
      <c r="P129" s="54"/>
      <c r="Q129" s="60"/>
      <c r="R129" s="63"/>
      <c r="S129" s="69">
        <v>1</v>
      </c>
      <c r="T129" s="79"/>
      <c r="U129" s="81"/>
      <c r="V129" s="80"/>
    </row>
    <row r="130" spans="1:22" ht="52.5" customHeight="1" x14ac:dyDescent="0.25">
      <c r="A130" s="54">
        <v>124</v>
      </c>
      <c r="B130" s="54">
        <v>7531062</v>
      </c>
      <c r="C130" s="54" t="s">
        <v>74</v>
      </c>
      <c r="D130" s="74" t="s">
        <v>400</v>
      </c>
      <c r="E130" s="74" t="s">
        <v>160</v>
      </c>
      <c r="F130" s="74" t="s">
        <v>60</v>
      </c>
      <c r="G130" s="55">
        <v>1</v>
      </c>
      <c r="H130" s="66"/>
      <c r="I130" s="69">
        <v>1</v>
      </c>
      <c r="J130" s="54"/>
      <c r="K130" s="60"/>
      <c r="L130" s="69">
        <v>1</v>
      </c>
      <c r="M130" s="54"/>
      <c r="N130" s="62" t="s">
        <v>571</v>
      </c>
      <c r="O130" s="54"/>
      <c r="P130" s="54">
        <v>1</v>
      </c>
      <c r="Q130" s="60"/>
      <c r="R130" s="63"/>
      <c r="S130" s="69"/>
      <c r="T130" s="58">
        <v>1</v>
      </c>
      <c r="U130" s="81">
        <v>1</v>
      </c>
      <c r="V130" s="80"/>
    </row>
    <row r="131" spans="1:22" ht="52.5" customHeight="1" x14ac:dyDescent="0.25">
      <c r="A131" s="55">
        <v>125</v>
      </c>
      <c r="B131" s="54">
        <v>3014349</v>
      </c>
      <c r="C131" s="54" t="s">
        <v>74</v>
      </c>
      <c r="D131" s="74" t="s">
        <v>73</v>
      </c>
      <c r="E131" s="57" t="s">
        <v>2</v>
      </c>
      <c r="F131" s="57" t="s">
        <v>502</v>
      </c>
      <c r="G131" s="55">
        <v>1</v>
      </c>
      <c r="H131" s="66"/>
      <c r="I131" s="69"/>
      <c r="J131" s="54"/>
      <c r="K131" s="60">
        <v>1</v>
      </c>
      <c r="L131" s="69"/>
      <c r="M131" s="54">
        <v>1</v>
      </c>
      <c r="N131" s="62"/>
      <c r="O131" s="54"/>
      <c r="P131" s="54"/>
      <c r="Q131" s="60"/>
      <c r="R131" s="63"/>
      <c r="S131" s="61"/>
      <c r="T131" s="66">
        <v>1</v>
      </c>
      <c r="U131" s="64"/>
      <c r="V131" s="80"/>
    </row>
    <row r="132" spans="1:22" ht="53.25" customHeight="1" x14ac:dyDescent="0.25">
      <c r="A132" s="54">
        <v>126</v>
      </c>
      <c r="B132" s="54">
        <v>3015495</v>
      </c>
      <c r="C132" s="54" t="s">
        <v>74</v>
      </c>
      <c r="D132" s="62" t="s">
        <v>53</v>
      </c>
      <c r="E132" s="77" t="s">
        <v>451</v>
      </c>
      <c r="F132" s="78" t="s">
        <v>60</v>
      </c>
      <c r="G132" s="55">
        <v>1</v>
      </c>
      <c r="H132" s="66"/>
      <c r="I132" s="69"/>
      <c r="J132" s="54">
        <v>1</v>
      </c>
      <c r="K132" s="60"/>
      <c r="L132" s="69"/>
      <c r="M132" s="54">
        <v>1</v>
      </c>
      <c r="N132" s="62"/>
      <c r="O132" s="54"/>
      <c r="P132" s="54"/>
      <c r="Q132" s="60"/>
      <c r="R132" s="63"/>
      <c r="S132" s="69">
        <v>1</v>
      </c>
      <c r="T132" s="58"/>
      <c r="U132" s="81"/>
      <c r="V132" s="54"/>
    </row>
    <row r="133" spans="1:22" ht="52.5" customHeight="1" x14ac:dyDescent="0.25">
      <c r="A133" s="55">
        <v>127</v>
      </c>
      <c r="B133" s="54">
        <v>3016473</v>
      </c>
      <c r="C133" s="54" t="s">
        <v>74</v>
      </c>
      <c r="D133" s="78" t="s">
        <v>261</v>
      </c>
      <c r="E133" s="78" t="s">
        <v>62</v>
      </c>
      <c r="F133" s="78" t="s">
        <v>60</v>
      </c>
      <c r="G133" s="54">
        <v>1</v>
      </c>
      <c r="H133" s="66"/>
      <c r="I133" s="69">
        <v>1</v>
      </c>
      <c r="J133" s="54"/>
      <c r="K133" s="60"/>
      <c r="L133" s="69"/>
      <c r="M133" s="54">
        <v>1</v>
      </c>
      <c r="N133" s="62"/>
      <c r="O133" s="54"/>
      <c r="P133" s="54"/>
      <c r="Q133" s="60"/>
      <c r="R133" s="63"/>
      <c r="S133" s="164">
        <v>1</v>
      </c>
      <c r="T133" s="165"/>
      <c r="U133" s="166"/>
      <c r="V133" s="167"/>
    </row>
    <row r="134" spans="1:22" ht="53.25" customHeight="1" x14ac:dyDescent="0.25">
      <c r="A134" s="54">
        <v>128</v>
      </c>
      <c r="B134" s="54">
        <v>3016295</v>
      </c>
      <c r="C134" s="54" t="s">
        <v>74</v>
      </c>
      <c r="D134" s="78" t="s">
        <v>620</v>
      </c>
      <c r="E134" s="78" t="s">
        <v>2</v>
      </c>
      <c r="F134" s="78" t="s">
        <v>1</v>
      </c>
      <c r="G134" s="54">
        <v>1</v>
      </c>
      <c r="H134" s="66"/>
      <c r="I134" s="69">
        <v>1</v>
      </c>
      <c r="J134" s="54"/>
      <c r="K134" s="60"/>
      <c r="L134" s="69"/>
      <c r="M134" s="54">
        <v>1</v>
      </c>
      <c r="N134" s="62"/>
      <c r="O134" s="54"/>
      <c r="P134" s="54"/>
      <c r="Q134" s="60"/>
      <c r="R134" s="63"/>
      <c r="S134" s="164">
        <v>1</v>
      </c>
      <c r="T134" s="165"/>
      <c r="U134" s="166"/>
      <c r="V134" s="167"/>
    </row>
    <row r="135" spans="1:22" ht="53.25" customHeight="1" x14ac:dyDescent="0.25">
      <c r="A135" s="55">
        <v>129</v>
      </c>
      <c r="B135" s="54">
        <v>7536098</v>
      </c>
      <c r="C135" s="54" t="s">
        <v>25</v>
      </c>
      <c r="D135" s="77" t="s">
        <v>19</v>
      </c>
      <c r="E135" s="57" t="s">
        <v>2</v>
      </c>
      <c r="F135" s="56" t="s">
        <v>312</v>
      </c>
      <c r="G135" s="55">
        <v>1</v>
      </c>
      <c r="H135" s="66"/>
      <c r="I135" s="69"/>
      <c r="J135" s="54"/>
      <c r="K135" s="60">
        <v>1</v>
      </c>
      <c r="L135" s="69"/>
      <c r="M135" s="55">
        <v>1</v>
      </c>
      <c r="N135" s="62"/>
      <c r="O135" s="54"/>
      <c r="P135" s="54"/>
      <c r="Q135" s="60"/>
      <c r="R135" s="63"/>
      <c r="S135" s="61"/>
      <c r="T135" s="58">
        <v>1</v>
      </c>
      <c r="U135" s="64"/>
      <c r="V135" s="80"/>
    </row>
    <row r="136" spans="1:22" ht="52.5" customHeight="1" x14ac:dyDescent="0.25">
      <c r="A136" s="54">
        <v>130</v>
      </c>
      <c r="B136" s="54">
        <v>7529592</v>
      </c>
      <c r="C136" s="54" t="s">
        <v>25</v>
      </c>
      <c r="D136" s="77" t="s">
        <v>363</v>
      </c>
      <c r="E136" s="78" t="s">
        <v>72</v>
      </c>
      <c r="F136" s="78" t="s">
        <v>60</v>
      </c>
      <c r="G136" s="54">
        <v>1</v>
      </c>
      <c r="H136" s="66"/>
      <c r="I136" s="69"/>
      <c r="J136" s="54">
        <v>1</v>
      </c>
      <c r="K136" s="60"/>
      <c r="L136" s="69">
        <v>1</v>
      </c>
      <c r="M136" s="54"/>
      <c r="N136" s="62" t="s">
        <v>598</v>
      </c>
      <c r="O136" s="54"/>
      <c r="P136" s="54"/>
      <c r="Q136" s="60">
        <v>1</v>
      </c>
      <c r="R136" s="63"/>
      <c r="S136" s="69">
        <v>1</v>
      </c>
      <c r="T136" s="79"/>
      <c r="U136" s="81"/>
      <c r="V136" s="54">
        <v>1</v>
      </c>
    </row>
    <row r="137" spans="1:22" ht="52.5" customHeight="1" x14ac:dyDescent="0.25">
      <c r="A137" s="55">
        <v>131</v>
      </c>
      <c r="B137" s="54">
        <v>3014303</v>
      </c>
      <c r="C137" s="54" t="s">
        <v>24</v>
      </c>
      <c r="D137" s="62" t="s">
        <v>69</v>
      </c>
      <c r="E137" s="67" t="s">
        <v>342</v>
      </c>
      <c r="F137" s="67" t="s">
        <v>1</v>
      </c>
      <c r="G137" s="55">
        <v>1</v>
      </c>
      <c r="H137" s="66"/>
      <c r="I137" s="69"/>
      <c r="J137" s="54">
        <v>1</v>
      </c>
      <c r="K137" s="60"/>
      <c r="L137" s="69"/>
      <c r="M137" s="55">
        <v>1</v>
      </c>
      <c r="N137" s="62"/>
      <c r="O137" s="54"/>
      <c r="P137" s="54"/>
      <c r="Q137" s="60"/>
      <c r="R137" s="63"/>
      <c r="S137" s="71"/>
      <c r="T137" s="58">
        <v>1</v>
      </c>
      <c r="U137" s="72"/>
      <c r="V137" s="80"/>
    </row>
    <row r="138" spans="1:22" ht="52.5" customHeight="1" x14ac:dyDescent="0.25">
      <c r="A138" s="54">
        <v>132</v>
      </c>
      <c r="B138" s="54">
        <v>3015380</v>
      </c>
      <c r="C138" s="54" t="s">
        <v>25</v>
      </c>
      <c r="D138" s="62" t="s">
        <v>61</v>
      </c>
      <c r="E138" s="67" t="s">
        <v>6</v>
      </c>
      <c r="F138" s="67" t="s">
        <v>1</v>
      </c>
      <c r="G138" s="55">
        <v>1</v>
      </c>
      <c r="H138" s="66"/>
      <c r="I138" s="69"/>
      <c r="J138" s="54">
        <v>1</v>
      </c>
      <c r="K138" s="60"/>
      <c r="L138" s="61">
        <v>1</v>
      </c>
      <c r="M138" s="54"/>
      <c r="N138" s="62" t="s">
        <v>554</v>
      </c>
      <c r="O138" s="54"/>
      <c r="P138" s="54">
        <v>1</v>
      </c>
      <c r="Q138" s="60"/>
      <c r="R138" s="63"/>
      <c r="S138" s="71">
        <v>1</v>
      </c>
      <c r="T138" s="79"/>
      <c r="U138" s="72"/>
      <c r="V138" s="55">
        <v>1</v>
      </c>
    </row>
    <row r="139" spans="1:22" ht="53.25" customHeight="1" x14ac:dyDescent="0.25">
      <c r="A139" s="55">
        <v>133</v>
      </c>
      <c r="B139" s="54">
        <v>7534014</v>
      </c>
      <c r="C139" s="54" t="s">
        <v>25</v>
      </c>
      <c r="D139" s="62" t="s">
        <v>351</v>
      </c>
      <c r="E139" s="62" t="s">
        <v>2</v>
      </c>
      <c r="F139" s="57" t="s">
        <v>401</v>
      </c>
      <c r="G139" s="55">
        <v>1</v>
      </c>
      <c r="H139" s="66"/>
      <c r="I139" s="69"/>
      <c r="J139" s="54">
        <v>1</v>
      </c>
      <c r="K139" s="60"/>
      <c r="L139" s="69"/>
      <c r="M139" s="55">
        <v>1</v>
      </c>
      <c r="N139" s="62"/>
      <c r="O139" s="54"/>
      <c r="P139" s="54"/>
      <c r="Q139" s="60"/>
      <c r="R139" s="63"/>
      <c r="S139" s="61">
        <v>1</v>
      </c>
      <c r="T139" s="79"/>
      <c r="U139" s="64"/>
      <c r="V139" s="80"/>
    </row>
    <row r="140" spans="1:22" ht="53.25" customHeight="1" x14ac:dyDescent="0.25">
      <c r="A140" s="54">
        <v>134</v>
      </c>
      <c r="B140" s="54">
        <v>3015677</v>
      </c>
      <c r="C140" s="54" t="s">
        <v>25</v>
      </c>
      <c r="D140" s="62" t="s">
        <v>362</v>
      </c>
      <c r="E140" s="77" t="s">
        <v>2</v>
      </c>
      <c r="F140" s="78" t="s">
        <v>309</v>
      </c>
      <c r="G140" s="55">
        <v>1</v>
      </c>
      <c r="H140" s="66"/>
      <c r="I140" s="69"/>
      <c r="J140" s="54">
        <v>1</v>
      </c>
      <c r="K140" s="60"/>
      <c r="L140" s="69"/>
      <c r="M140" s="54">
        <v>1</v>
      </c>
      <c r="N140" s="62"/>
      <c r="O140" s="54"/>
      <c r="P140" s="54"/>
      <c r="Q140" s="60"/>
      <c r="R140" s="63"/>
      <c r="S140" s="69">
        <v>1</v>
      </c>
      <c r="T140" s="79"/>
      <c r="U140" s="81"/>
      <c r="V140" s="80"/>
    </row>
    <row r="141" spans="1:22" ht="52.5" customHeight="1" x14ac:dyDescent="0.25">
      <c r="A141" s="55">
        <v>135</v>
      </c>
      <c r="B141" s="54">
        <v>7538359</v>
      </c>
      <c r="C141" s="54" t="s">
        <v>25</v>
      </c>
      <c r="D141" s="62" t="s">
        <v>382</v>
      </c>
      <c r="E141" s="57" t="s">
        <v>160</v>
      </c>
      <c r="F141" s="57" t="s">
        <v>1</v>
      </c>
      <c r="G141" s="55">
        <v>1</v>
      </c>
      <c r="H141" s="66"/>
      <c r="I141" s="69">
        <v>1</v>
      </c>
      <c r="J141" s="54"/>
      <c r="K141" s="60"/>
      <c r="L141" s="69"/>
      <c r="M141" s="55">
        <v>1</v>
      </c>
      <c r="N141" s="62"/>
      <c r="O141" s="54"/>
      <c r="P141" s="54"/>
      <c r="Q141" s="60"/>
      <c r="R141" s="63"/>
      <c r="S141" s="61"/>
      <c r="T141" s="58">
        <v>1</v>
      </c>
      <c r="U141" s="64"/>
      <c r="V141" s="80"/>
    </row>
    <row r="142" spans="1:22" ht="53.25" customHeight="1" x14ac:dyDescent="0.25">
      <c r="A142" s="54">
        <v>136</v>
      </c>
      <c r="B142" s="54">
        <v>3017085</v>
      </c>
      <c r="C142" s="54" t="s">
        <v>24</v>
      </c>
      <c r="D142" s="62" t="s">
        <v>374</v>
      </c>
      <c r="E142" s="57" t="s">
        <v>85</v>
      </c>
      <c r="F142" s="67" t="s">
        <v>60</v>
      </c>
      <c r="G142" s="55">
        <v>1</v>
      </c>
      <c r="H142" s="66"/>
      <c r="I142" s="69">
        <v>1</v>
      </c>
      <c r="J142" s="54"/>
      <c r="K142" s="60"/>
      <c r="L142" s="61">
        <v>1</v>
      </c>
      <c r="M142" s="54"/>
      <c r="N142" s="62" t="s">
        <v>550</v>
      </c>
      <c r="O142" s="54"/>
      <c r="P142" s="54"/>
      <c r="Q142" s="60">
        <v>1</v>
      </c>
      <c r="R142" s="63"/>
      <c r="S142" s="71">
        <v>1</v>
      </c>
      <c r="T142" s="79"/>
      <c r="U142" s="72"/>
      <c r="V142" s="54">
        <v>1</v>
      </c>
    </row>
    <row r="143" spans="1:22" ht="14.4" x14ac:dyDescent="0.25">
      <c r="A143" s="55">
        <v>137</v>
      </c>
      <c r="B143" s="54">
        <v>7536256</v>
      </c>
      <c r="C143" s="54" t="s">
        <v>25</v>
      </c>
      <c r="D143" s="62" t="s">
        <v>17</v>
      </c>
      <c r="E143" s="78" t="s">
        <v>269</v>
      </c>
      <c r="F143" s="78" t="s">
        <v>1</v>
      </c>
      <c r="G143" s="55">
        <v>1</v>
      </c>
      <c r="H143" s="66"/>
      <c r="I143" s="69">
        <v>1</v>
      </c>
      <c r="J143" s="54"/>
      <c r="K143" s="60"/>
      <c r="L143" s="69">
        <v>1</v>
      </c>
      <c r="M143" s="55"/>
      <c r="N143" s="62" t="s">
        <v>621</v>
      </c>
      <c r="O143" s="54">
        <v>1</v>
      </c>
      <c r="P143" s="54"/>
      <c r="Q143" s="60"/>
      <c r="R143" s="63"/>
      <c r="S143" s="69"/>
      <c r="T143" s="58">
        <v>1</v>
      </c>
      <c r="U143" s="81">
        <v>1</v>
      </c>
      <c r="V143" s="80"/>
    </row>
    <row r="144" spans="1:22" ht="14.4" x14ac:dyDescent="0.25">
      <c r="A144" s="54">
        <v>138</v>
      </c>
      <c r="B144" s="54">
        <v>3017096</v>
      </c>
      <c r="C144" s="54" t="s">
        <v>25</v>
      </c>
      <c r="D144" s="62" t="s">
        <v>377</v>
      </c>
      <c r="E144" s="57" t="s">
        <v>447</v>
      </c>
      <c r="F144" s="67" t="s">
        <v>1</v>
      </c>
      <c r="G144" s="55">
        <v>1</v>
      </c>
      <c r="H144" s="66"/>
      <c r="I144" s="69"/>
      <c r="J144" s="54"/>
      <c r="K144" s="60">
        <v>1</v>
      </c>
      <c r="L144" s="69"/>
      <c r="M144" s="55">
        <v>1</v>
      </c>
      <c r="N144" s="62"/>
      <c r="O144" s="54"/>
      <c r="P144" s="54"/>
      <c r="Q144" s="60"/>
      <c r="R144" s="63"/>
      <c r="S144" s="71">
        <v>1</v>
      </c>
      <c r="T144" s="79"/>
      <c r="U144" s="72"/>
      <c r="V144" s="80"/>
    </row>
    <row r="145" spans="1:22" ht="59.25" customHeight="1" x14ac:dyDescent="0.25">
      <c r="A145" s="55">
        <v>139</v>
      </c>
      <c r="B145" s="54">
        <v>3017227</v>
      </c>
      <c r="C145" s="54" t="s">
        <v>25</v>
      </c>
      <c r="D145" s="77" t="s">
        <v>379</v>
      </c>
      <c r="E145" s="74" t="s">
        <v>135</v>
      </c>
      <c r="F145" s="74" t="s">
        <v>60</v>
      </c>
      <c r="G145" s="55">
        <v>1</v>
      </c>
      <c r="H145" s="66"/>
      <c r="I145" s="69"/>
      <c r="J145" s="54"/>
      <c r="K145" s="60">
        <v>1</v>
      </c>
      <c r="L145" s="69"/>
      <c r="M145" s="55">
        <v>1</v>
      </c>
      <c r="N145" s="62"/>
      <c r="O145" s="54"/>
      <c r="P145" s="54"/>
      <c r="Q145" s="60"/>
      <c r="R145" s="63"/>
      <c r="S145" s="69">
        <v>1</v>
      </c>
      <c r="T145" s="58"/>
      <c r="U145" s="81"/>
      <c r="V145" s="80"/>
    </row>
    <row r="146" spans="1:22" ht="14.4" x14ac:dyDescent="0.25">
      <c r="A146" s="54">
        <v>140</v>
      </c>
      <c r="B146" s="54">
        <v>3015301</v>
      </c>
      <c r="C146" s="54" t="s">
        <v>25</v>
      </c>
      <c r="D146" s="62" t="s">
        <v>359</v>
      </c>
      <c r="E146" s="78" t="s">
        <v>353</v>
      </c>
      <c r="F146" s="67" t="s">
        <v>4</v>
      </c>
      <c r="G146" s="55">
        <v>1</v>
      </c>
      <c r="H146" s="66"/>
      <c r="I146" s="69"/>
      <c r="J146" s="54">
        <v>1</v>
      </c>
      <c r="K146" s="60"/>
      <c r="L146" s="69">
        <v>1</v>
      </c>
      <c r="M146" s="54"/>
      <c r="N146" s="62" t="s">
        <v>595</v>
      </c>
      <c r="O146" s="54"/>
      <c r="P146" s="54">
        <v>1</v>
      </c>
      <c r="Q146" s="60"/>
      <c r="R146" s="63"/>
      <c r="S146" s="71"/>
      <c r="T146" s="58">
        <v>1</v>
      </c>
      <c r="U146" s="72">
        <v>1</v>
      </c>
      <c r="V146" s="80"/>
    </row>
    <row r="147" spans="1:22" ht="59.25" customHeight="1" x14ac:dyDescent="0.25">
      <c r="A147" s="55">
        <v>141</v>
      </c>
      <c r="B147" s="54">
        <v>7537732</v>
      </c>
      <c r="C147" s="54" t="s">
        <v>25</v>
      </c>
      <c r="D147" s="62" t="s">
        <v>8</v>
      </c>
      <c r="E147" s="57" t="s">
        <v>273</v>
      </c>
      <c r="F147" s="56" t="s">
        <v>149</v>
      </c>
      <c r="G147" s="55">
        <v>1</v>
      </c>
      <c r="H147" s="66"/>
      <c r="I147" s="69"/>
      <c r="J147" s="54"/>
      <c r="K147" s="60">
        <v>1</v>
      </c>
      <c r="L147" s="61"/>
      <c r="M147" s="54">
        <v>1</v>
      </c>
      <c r="N147" s="62"/>
      <c r="O147" s="54"/>
      <c r="P147" s="54"/>
      <c r="Q147" s="60"/>
      <c r="R147" s="63"/>
      <c r="S147" s="61"/>
      <c r="T147" s="58">
        <v>1</v>
      </c>
      <c r="U147" s="64"/>
      <c r="V147" s="80"/>
    </row>
    <row r="148" spans="1:22" ht="59.25" customHeight="1" x14ac:dyDescent="0.25">
      <c r="A148" s="54">
        <v>142</v>
      </c>
      <c r="B148" s="54">
        <v>3016791</v>
      </c>
      <c r="C148" s="54" t="s">
        <v>25</v>
      </c>
      <c r="D148" s="62" t="s">
        <v>365</v>
      </c>
      <c r="E148" s="57" t="s">
        <v>330</v>
      </c>
      <c r="F148" s="56" t="s">
        <v>60</v>
      </c>
      <c r="G148" s="55">
        <v>1</v>
      </c>
      <c r="H148" s="66"/>
      <c r="I148" s="69"/>
      <c r="J148" s="54"/>
      <c r="K148" s="60">
        <v>1</v>
      </c>
      <c r="L148" s="69">
        <v>1</v>
      </c>
      <c r="M148" s="55"/>
      <c r="N148" s="62" t="s">
        <v>622</v>
      </c>
      <c r="O148" s="54"/>
      <c r="P148" s="54"/>
      <c r="Q148" s="60">
        <v>1</v>
      </c>
      <c r="R148" s="63"/>
      <c r="S148" s="61">
        <v>1</v>
      </c>
      <c r="T148" s="79"/>
      <c r="U148" s="64"/>
      <c r="V148" s="54">
        <v>1</v>
      </c>
    </row>
    <row r="149" spans="1:22" ht="59.25" customHeight="1" x14ac:dyDescent="0.25">
      <c r="A149" s="55">
        <v>143</v>
      </c>
      <c r="B149" s="54">
        <v>3016793</v>
      </c>
      <c r="C149" s="54" t="s">
        <v>25</v>
      </c>
      <c r="D149" s="77" t="s">
        <v>347</v>
      </c>
      <c r="E149" s="78" t="s">
        <v>2</v>
      </c>
      <c r="F149" s="74" t="s">
        <v>402</v>
      </c>
      <c r="G149" s="55">
        <v>1</v>
      </c>
      <c r="H149" s="66"/>
      <c r="I149" s="69"/>
      <c r="J149" s="54"/>
      <c r="K149" s="60">
        <v>1</v>
      </c>
      <c r="L149" s="69"/>
      <c r="M149" s="55">
        <v>1</v>
      </c>
      <c r="N149" s="62"/>
      <c r="O149" s="54"/>
      <c r="P149" s="54"/>
      <c r="Q149" s="60"/>
      <c r="R149" s="63"/>
      <c r="S149" s="69">
        <v>1</v>
      </c>
      <c r="T149" s="79"/>
      <c r="U149" s="81"/>
      <c r="V149" s="80"/>
    </row>
    <row r="150" spans="1:22" ht="59.25" customHeight="1" x14ac:dyDescent="0.25">
      <c r="A150" s="54">
        <v>144</v>
      </c>
      <c r="B150" s="54">
        <v>3016879</v>
      </c>
      <c r="C150" s="54" t="s">
        <v>25</v>
      </c>
      <c r="D150" s="77" t="s">
        <v>367</v>
      </c>
      <c r="E150" s="74" t="s">
        <v>155</v>
      </c>
      <c r="F150" s="74" t="s">
        <v>60</v>
      </c>
      <c r="G150" s="55">
        <v>1</v>
      </c>
      <c r="H150" s="66"/>
      <c r="I150" s="69"/>
      <c r="J150" s="54"/>
      <c r="K150" s="60">
        <v>1</v>
      </c>
      <c r="L150" s="69">
        <v>1</v>
      </c>
      <c r="M150" s="54"/>
      <c r="N150" s="62" t="s">
        <v>572</v>
      </c>
      <c r="O150" s="54"/>
      <c r="P150" s="54"/>
      <c r="Q150" s="60">
        <v>1</v>
      </c>
      <c r="R150" s="63"/>
      <c r="S150" s="69">
        <v>1</v>
      </c>
      <c r="T150" s="79"/>
      <c r="U150" s="81"/>
      <c r="V150" s="54">
        <v>1</v>
      </c>
    </row>
    <row r="151" spans="1:22" ht="60" customHeight="1" x14ac:dyDescent="0.25">
      <c r="A151" s="55">
        <v>145</v>
      </c>
      <c r="B151" s="54">
        <v>3016936</v>
      </c>
      <c r="C151" s="54" t="s">
        <v>25</v>
      </c>
      <c r="D151" s="77" t="s">
        <v>371</v>
      </c>
      <c r="E151" s="74" t="s">
        <v>63</v>
      </c>
      <c r="F151" s="74" t="s">
        <v>1</v>
      </c>
      <c r="G151" s="55">
        <v>1</v>
      </c>
      <c r="H151" s="66"/>
      <c r="I151" s="69"/>
      <c r="J151" s="54">
        <v>1</v>
      </c>
      <c r="K151" s="60"/>
      <c r="L151" s="61">
        <v>1</v>
      </c>
      <c r="M151" s="54"/>
      <c r="N151" s="62" t="s">
        <v>558</v>
      </c>
      <c r="O151" s="54"/>
      <c r="P151" s="54">
        <v>1</v>
      </c>
      <c r="Q151" s="60"/>
      <c r="R151" s="63"/>
      <c r="S151" s="69">
        <v>1</v>
      </c>
      <c r="T151" s="79"/>
      <c r="U151" s="81"/>
      <c r="V151" s="54">
        <v>1</v>
      </c>
    </row>
    <row r="152" spans="1:22" ht="59.25" customHeight="1" x14ac:dyDescent="0.25">
      <c r="A152" s="54">
        <v>146</v>
      </c>
      <c r="B152" s="54">
        <v>3016032</v>
      </c>
      <c r="C152" s="54" t="s">
        <v>24</v>
      </c>
      <c r="D152" s="77" t="s">
        <v>372</v>
      </c>
      <c r="E152" s="74" t="s">
        <v>350</v>
      </c>
      <c r="F152" s="74" t="s">
        <v>1</v>
      </c>
      <c r="G152" s="55">
        <v>1</v>
      </c>
      <c r="H152" s="66"/>
      <c r="I152" s="69"/>
      <c r="J152" s="54">
        <v>1</v>
      </c>
      <c r="K152" s="60"/>
      <c r="L152" s="69">
        <v>1</v>
      </c>
      <c r="M152" s="54"/>
      <c r="N152" s="62" t="s">
        <v>623</v>
      </c>
      <c r="O152" s="54">
        <v>1</v>
      </c>
      <c r="P152" s="54"/>
      <c r="Q152" s="60"/>
      <c r="R152" s="63"/>
      <c r="S152" s="69"/>
      <c r="T152" s="66">
        <v>1</v>
      </c>
      <c r="U152" s="81">
        <v>1</v>
      </c>
      <c r="V152" s="80"/>
    </row>
    <row r="153" spans="1:22" ht="59.25" customHeight="1" x14ac:dyDescent="0.25">
      <c r="A153" s="55">
        <v>147</v>
      </c>
      <c r="B153" s="54">
        <v>3016038</v>
      </c>
      <c r="C153" s="54" t="s">
        <v>25</v>
      </c>
      <c r="D153" s="77" t="s">
        <v>373</v>
      </c>
      <c r="E153" s="78" t="s">
        <v>14</v>
      </c>
      <c r="F153" s="74" t="s">
        <v>1</v>
      </c>
      <c r="G153" s="55">
        <v>1</v>
      </c>
      <c r="H153" s="66"/>
      <c r="I153" s="69">
        <v>1</v>
      </c>
      <c r="J153" s="54"/>
      <c r="K153" s="60"/>
      <c r="L153" s="69">
        <v>1</v>
      </c>
      <c r="M153" s="54"/>
      <c r="N153" s="62" t="s">
        <v>624</v>
      </c>
      <c r="O153" s="54"/>
      <c r="P153" s="54"/>
      <c r="Q153" s="60">
        <v>1</v>
      </c>
      <c r="R153" s="63"/>
      <c r="S153" s="69"/>
      <c r="T153" s="58">
        <v>1</v>
      </c>
      <c r="U153" s="81">
        <v>1</v>
      </c>
      <c r="V153" s="80"/>
    </row>
    <row r="154" spans="1:22" ht="59.25" customHeight="1" x14ac:dyDescent="0.25">
      <c r="A154" s="54">
        <v>148</v>
      </c>
      <c r="B154" s="54">
        <v>3017525</v>
      </c>
      <c r="C154" s="54" t="s">
        <v>24</v>
      </c>
      <c r="D154" s="77" t="s">
        <v>411</v>
      </c>
      <c r="E154" s="78" t="s">
        <v>75</v>
      </c>
      <c r="F154" s="74" t="s">
        <v>1</v>
      </c>
      <c r="G154" s="55">
        <v>1</v>
      </c>
      <c r="H154" s="66"/>
      <c r="I154" s="69"/>
      <c r="J154" s="54"/>
      <c r="K154" s="60">
        <v>1</v>
      </c>
      <c r="L154" s="69">
        <v>1</v>
      </c>
      <c r="M154" s="54"/>
      <c r="N154" s="62" t="s">
        <v>573</v>
      </c>
      <c r="O154" s="54"/>
      <c r="P154" s="54">
        <v>1</v>
      </c>
      <c r="Q154" s="60"/>
      <c r="R154" s="63"/>
      <c r="S154" s="69">
        <v>1</v>
      </c>
      <c r="T154" s="79"/>
      <c r="U154" s="81"/>
      <c r="V154" s="54">
        <v>1</v>
      </c>
    </row>
    <row r="155" spans="1:22" ht="59.25" customHeight="1" x14ac:dyDescent="0.25">
      <c r="A155" s="55">
        <v>149</v>
      </c>
      <c r="B155" s="54">
        <v>3017090</v>
      </c>
      <c r="C155" s="54" t="s">
        <v>25</v>
      </c>
      <c r="D155" s="77" t="s">
        <v>376</v>
      </c>
      <c r="E155" s="74" t="s">
        <v>44</v>
      </c>
      <c r="F155" s="74" t="s">
        <v>1</v>
      </c>
      <c r="G155" s="55">
        <v>1</v>
      </c>
      <c r="H155" s="66"/>
      <c r="I155" s="69"/>
      <c r="J155" s="54">
        <v>1</v>
      </c>
      <c r="K155" s="60"/>
      <c r="L155" s="69">
        <v>1</v>
      </c>
      <c r="M155" s="54"/>
      <c r="N155" s="62" t="s">
        <v>574</v>
      </c>
      <c r="O155" s="54"/>
      <c r="P155" s="54"/>
      <c r="Q155" s="60">
        <v>1</v>
      </c>
      <c r="R155" s="63"/>
      <c r="S155" s="69">
        <v>1</v>
      </c>
      <c r="T155" s="79"/>
      <c r="U155" s="81"/>
      <c r="V155" s="54">
        <v>1</v>
      </c>
    </row>
    <row r="156" spans="1:22" ht="59.25" customHeight="1" x14ac:dyDescent="0.25">
      <c r="A156" s="54">
        <v>150</v>
      </c>
      <c r="B156" s="54">
        <v>3017291</v>
      </c>
      <c r="C156" s="54" t="s">
        <v>25</v>
      </c>
      <c r="D156" s="77" t="s">
        <v>356</v>
      </c>
      <c r="E156" s="74" t="s">
        <v>357</v>
      </c>
      <c r="F156" s="74" t="s">
        <v>1</v>
      </c>
      <c r="G156" s="54">
        <v>1</v>
      </c>
      <c r="H156" s="66"/>
      <c r="I156" s="69">
        <v>1</v>
      </c>
      <c r="J156" s="54"/>
      <c r="K156" s="60"/>
      <c r="L156" s="69"/>
      <c r="M156" s="54">
        <v>1</v>
      </c>
      <c r="N156" s="62"/>
      <c r="O156" s="54"/>
      <c r="P156" s="54"/>
      <c r="Q156" s="60"/>
      <c r="R156" s="63"/>
      <c r="S156" s="69"/>
      <c r="T156" s="66">
        <v>1</v>
      </c>
      <c r="U156" s="81"/>
      <c r="V156" s="80"/>
    </row>
    <row r="157" spans="1:22" ht="58.5" customHeight="1" x14ac:dyDescent="0.25">
      <c r="A157" s="55">
        <v>151</v>
      </c>
      <c r="B157" s="54">
        <v>3017103</v>
      </c>
      <c r="C157" s="54" t="s">
        <v>25</v>
      </c>
      <c r="D157" s="77" t="s">
        <v>378</v>
      </c>
      <c r="E157" s="67" t="s">
        <v>2</v>
      </c>
      <c r="F157" s="67" t="s">
        <v>503</v>
      </c>
      <c r="G157" s="55">
        <v>1</v>
      </c>
      <c r="H157" s="66"/>
      <c r="I157" s="69"/>
      <c r="J157" s="54">
        <v>1</v>
      </c>
      <c r="K157" s="60"/>
      <c r="L157" s="69"/>
      <c r="M157" s="55">
        <v>1</v>
      </c>
      <c r="N157" s="62"/>
      <c r="O157" s="54"/>
      <c r="P157" s="54"/>
      <c r="Q157" s="60"/>
      <c r="R157" s="63"/>
      <c r="S157" s="71">
        <v>1</v>
      </c>
      <c r="T157" s="79"/>
      <c r="U157" s="72"/>
      <c r="V157" s="80"/>
    </row>
    <row r="158" spans="1:22" ht="59.25" customHeight="1" x14ac:dyDescent="0.25">
      <c r="A158" s="54">
        <v>152</v>
      </c>
      <c r="B158" s="54">
        <v>7532932</v>
      </c>
      <c r="C158" s="54" t="s">
        <v>25</v>
      </c>
      <c r="D158" s="77" t="s">
        <v>354</v>
      </c>
      <c r="E158" s="78" t="s">
        <v>87</v>
      </c>
      <c r="F158" s="78" t="s">
        <v>1</v>
      </c>
      <c r="G158" s="55">
        <v>1</v>
      </c>
      <c r="H158" s="66"/>
      <c r="I158" s="69"/>
      <c r="J158" s="54"/>
      <c r="K158" s="60">
        <v>1</v>
      </c>
      <c r="L158" s="69"/>
      <c r="M158" s="55">
        <v>1</v>
      </c>
      <c r="N158" s="62"/>
      <c r="O158" s="54"/>
      <c r="P158" s="54"/>
      <c r="Q158" s="60"/>
      <c r="R158" s="63"/>
      <c r="S158" s="69"/>
      <c r="T158" s="66">
        <v>1</v>
      </c>
      <c r="U158" s="81"/>
      <c r="V158" s="80"/>
    </row>
    <row r="159" spans="1:22" ht="14.4" x14ac:dyDescent="0.25">
      <c r="A159" s="55">
        <v>153</v>
      </c>
      <c r="B159" s="54">
        <v>7536116</v>
      </c>
      <c r="C159" s="54" t="s">
        <v>25</v>
      </c>
      <c r="D159" s="62" t="s">
        <v>403</v>
      </c>
      <c r="E159" s="77" t="s">
        <v>9</v>
      </c>
      <c r="F159" s="78" t="s">
        <v>1</v>
      </c>
      <c r="G159" s="55">
        <v>1</v>
      </c>
      <c r="H159" s="66"/>
      <c r="I159" s="69">
        <v>1</v>
      </c>
      <c r="J159" s="54"/>
      <c r="K159" s="60"/>
      <c r="L159" s="69"/>
      <c r="M159" s="55">
        <v>1</v>
      </c>
      <c r="N159" s="62"/>
      <c r="O159" s="54"/>
      <c r="P159" s="54"/>
      <c r="Q159" s="60"/>
      <c r="R159" s="63"/>
      <c r="S159" s="69"/>
      <c r="T159" s="66">
        <v>1</v>
      </c>
      <c r="U159" s="81"/>
      <c r="V159" s="80"/>
    </row>
    <row r="160" spans="1:22" ht="14.4" x14ac:dyDescent="0.25">
      <c r="A160" s="54">
        <v>154</v>
      </c>
      <c r="B160" s="54">
        <v>7537019</v>
      </c>
      <c r="C160" s="54" t="s">
        <v>25</v>
      </c>
      <c r="D160" s="78" t="s">
        <v>13</v>
      </c>
      <c r="E160" s="78" t="s">
        <v>12</v>
      </c>
      <c r="F160" s="74" t="s">
        <v>1</v>
      </c>
      <c r="G160" s="55">
        <v>1</v>
      </c>
      <c r="H160" s="66"/>
      <c r="I160" s="69"/>
      <c r="J160" s="54">
        <v>1</v>
      </c>
      <c r="K160" s="60"/>
      <c r="L160" s="69">
        <v>1</v>
      </c>
      <c r="M160" s="54"/>
      <c r="N160" s="62" t="s">
        <v>625</v>
      </c>
      <c r="O160" s="54"/>
      <c r="P160" s="54">
        <v>1</v>
      </c>
      <c r="Q160" s="60"/>
      <c r="R160" s="63"/>
      <c r="S160" s="69"/>
      <c r="T160" s="58">
        <v>1</v>
      </c>
      <c r="U160" s="81">
        <v>1</v>
      </c>
      <c r="V160" s="80"/>
    </row>
    <row r="161" spans="1:22" ht="60" customHeight="1" x14ac:dyDescent="0.25">
      <c r="A161" s="55">
        <v>155</v>
      </c>
      <c r="B161" s="54">
        <v>7536971</v>
      </c>
      <c r="C161" s="54" t="s">
        <v>25</v>
      </c>
      <c r="D161" s="62" t="s">
        <v>15</v>
      </c>
      <c r="E161" s="74" t="s">
        <v>7</v>
      </c>
      <c r="F161" s="74" t="s">
        <v>1</v>
      </c>
      <c r="G161" s="55">
        <v>1</v>
      </c>
      <c r="H161" s="66"/>
      <c r="I161" s="69"/>
      <c r="J161" s="54">
        <v>1</v>
      </c>
      <c r="K161" s="60"/>
      <c r="L161" s="61">
        <v>1</v>
      </c>
      <c r="M161" s="54"/>
      <c r="N161" s="62" t="s">
        <v>549</v>
      </c>
      <c r="O161" s="54"/>
      <c r="P161" s="54">
        <v>1</v>
      </c>
      <c r="Q161" s="60"/>
      <c r="R161" s="63"/>
      <c r="S161" s="69"/>
      <c r="T161" s="66">
        <v>1</v>
      </c>
      <c r="U161" s="81">
        <v>1</v>
      </c>
      <c r="V161" s="80"/>
    </row>
    <row r="162" spans="1:22" ht="60" customHeight="1" x14ac:dyDescent="0.25">
      <c r="A162" s="54">
        <v>156</v>
      </c>
      <c r="B162" s="54">
        <v>7537236</v>
      </c>
      <c r="C162" s="54" t="s">
        <v>25</v>
      </c>
      <c r="D162" s="62" t="s">
        <v>10</v>
      </c>
      <c r="E162" s="67" t="s">
        <v>157</v>
      </c>
      <c r="F162" s="57" t="s">
        <v>1</v>
      </c>
      <c r="G162" s="55">
        <v>1</v>
      </c>
      <c r="H162" s="66"/>
      <c r="I162" s="69"/>
      <c r="J162" s="54">
        <v>1</v>
      </c>
      <c r="K162" s="60"/>
      <c r="L162" s="61">
        <v>1</v>
      </c>
      <c r="M162" s="54"/>
      <c r="N162" s="62" t="s">
        <v>556</v>
      </c>
      <c r="O162" s="54"/>
      <c r="P162" s="54"/>
      <c r="Q162" s="60">
        <v>1</v>
      </c>
      <c r="R162" s="63"/>
      <c r="S162" s="61"/>
      <c r="T162" s="66">
        <v>1</v>
      </c>
      <c r="U162" s="64">
        <v>1</v>
      </c>
      <c r="V162" s="80"/>
    </row>
    <row r="163" spans="1:22" ht="59.25" customHeight="1" x14ac:dyDescent="0.25">
      <c r="A163" s="55">
        <v>157</v>
      </c>
      <c r="B163" s="54">
        <v>7536691</v>
      </c>
      <c r="C163" s="54" t="s">
        <v>25</v>
      </c>
      <c r="D163" s="62" t="s">
        <v>405</v>
      </c>
      <c r="E163" s="78" t="s">
        <v>65</v>
      </c>
      <c r="F163" s="78" t="s">
        <v>1</v>
      </c>
      <c r="G163" s="55">
        <v>1</v>
      </c>
      <c r="H163" s="66"/>
      <c r="I163" s="69"/>
      <c r="J163" s="54">
        <v>1</v>
      </c>
      <c r="K163" s="60"/>
      <c r="L163" s="69">
        <v>1</v>
      </c>
      <c r="M163" s="54"/>
      <c r="N163" s="62" t="s">
        <v>575</v>
      </c>
      <c r="O163" s="54"/>
      <c r="P163" s="54"/>
      <c r="Q163" s="60">
        <v>1</v>
      </c>
      <c r="R163" s="63"/>
      <c r="S163" s="69">
        <v>1</v>
      </c>
      <c r="T163" s="79"/>
      <c r="U163" s="81"/>
      <c r="V163" s="54">
        <v>1</v>
      </c>
    </row>
    <row r="164" spans="1:22" ht="60" customHeight="1" x14ac:dyDescent="0.25">
      <c r="A164" s="54">
        <v>158</v>
      </c>
      <c r="B164" s="54">
        <v>3016247</v>
      </c>
      <c r="C164" s="54" t="s">
        <v>25</v>
      </c>
      <c r="D164" s="62" t="s">
        <v>407</v>
      </c>
      <c r="E164" s="67" t="s">
        <v>47</v>
      </c>
      <c r="F164" s="57" t="s">
        <v>1</v>
      </c>
      <c r="G164" s="54">
        <v>1</v>
      </c>
      <c r="H164" s="66"/>
      <c r="I164" s="69"/>
      <c r="J164" s="54">
        <v>1</v>
      </c>
      <c r="K164" s="60"/>
      <c r="L164" s="69">
        <v>1</v>
      </c>
      <c r="M164" s="54"/>
      <c r="N164" s="62" t="s">
        <v>626</v>
      </c>
      <c r="O164" s="54"/>
      <c r="P164" s="54"/>
      <c r="Q164" s="60">
        <v>1</v>
      </c>
      <c r="R164" s="63"/>
      <c r="S164" s="61">
        <v>1</v>
      </c>
      <c r="T164" s="79"/>
      <c r="U164" s="64"/>
      <c r="V164" s="54">
        <v>1</v>
      </c>
    </row>
    <row r="165" spans="1:22" ht="59.25" customHeight="1" x14ac:dyDescent="0.25">
      <c r="A165" s="55">
        <v>159</v>
      </c>
      <c r="B165" s="54">
        <v>3017729</v>
      </c>
      <c r="C165" s="54" t="s">
        <v>25</v>
      </c>
      <c r="D165" s="77" t="s">
        <v>421</v>
      </c>
      <c r="E165" s="78" t="s">
        <v>58</v>
      </c>
      <c r="F165" s="78" t="s">
        <v>1</v>
      </c>
      <c r="G165" s="54">
        <v>1</v>
      </c>
      <c r="H165" s="66"/>
      <c r="I165" s="69"/>
      <c r="J165" s="54">
        <v>1</v>
      </c>
      <c r="K165" s="60"/>
      <c r="L165" s="69">
        <v>1</v>
      </c>
      <c r="M165" s="54"/>
      <c r="N165" s="62" t="s">
        <v>627</v>
      </c>
      <c r="O165" s="54"/>
      <c r="P165" s="54"/>
      <c r="Q165" s="60">
        <v>1</v>
      </c>
      <c r="R165" s="63"/>
      <c r="S165" s="69"/>
      <c r="T165" s="66">
        <v>1</v>
      </c>
      <c r="U165" s="81">
        <v>1</v>
      </c>
      <c r="V165" s="80"/>
    </row>
    <row r="166" spans="1:22" ht="59.25" customHeight="1" x14ac:dyDescent="0.25">
      <c r="A166" s="54">
        <v>160</v>
      </c>
      <c r="B166" s="54">
        <v>3017504</v>
      </c>
      <c r="C166" s="54" t="s">
        <v>25</v>
      </c>
      <c r="D166" s="77" t="s">
        <v>409</v>
      </c>
      <c r="E166" s="78" t="s">
        <v>504</v>
      </c>
      <c r="F166" s="78" t="s">
        <v>1</v>
      </c>
      <c r="G166" s="54">
        <v>1</v>
      </c>
      <c r="H166" s="66"/>
      <c r="I166" s="69"/>
      <c r="J166" s="54">
        <v>1</v>
      </c>
      <c r="K166" s="60"/>
      <c r="L166" s="69">
        <v>1</v>
      </c>
      <c r="M166" s="54"/>
      <c r="N166" s="62" t="s">
        <v>628</v>
      </c>
      <c r="O166" s="54">
        <v>1</v>
      </c>
      <c r="P166" s="54"/>
      <c r="Q166" s="60"/>
      <c r="R166" s="63"/>
      <c r="S166" s="69">
        <v>1</v>
      </c>
      <c r="T166" s="66"/>
      <c r="U166" s="81"/>
      <c r="V166" s="54">
        <v>1</v>
      </c>
    </row>
    <row r="167" spans="1:22" ht="59.25" customHeight="1" x14ac:dyDescent="0.25">
      <c r="A167" s="55">
        <v>161</v>
      </c>
      <c r="B167" s="54">
        <v>3017752</v>
      </c>
      <c r="C167" s="54" t="s">
        <v>25</v>
      </c>
      <c r="D167" s="77" t="s">
        <v>422</v>
      </c>
      <c r="E167" s="77" t="s">
        <v>137</v>
      </c>
      <c r="F167" s="78" t="s">
        <v>1</v>
      </c>
      <c r="G167" s="55">
        <v>1</v>
      </c>
      <c r="H167" s="66"/>
      <c r="I167" s="69"/>
      <c r="J167" s="54">
        <v>1</v>
      </c>
      <c r="K167" s="60"/>
      <c r="L167" s="69">
        <v>1</v>
      </c>
      <c r="M167" s="54"/>
      <c r="N167" s="62" t="s">
        <v>576</v>
      </c>
      <c r="O167" s="54"/>
      <c r="P167" s="54"/>
      <c r="Q167" s="60">
        <v>1</v>
      </c>
      <c r="R167" s="63"/>
      <c r="S167" s="69"/>
      <c r="T167" s="66">
        <v>1</v>
      </c>
      <c r="U167" s="81">
        <v>1</v>
      </c>
      <c r="V167" s="80"/>
    </row>
    <row r="168" spans="1:22" ht="59.25" customHeight="1" x14ac:dyDescent="0.25">
      <c r="A168" s="54">
        <v>162</v>
      </c>
      <c r="B168" s="54">
        <v>3017553</v>
      </c>
      <c r="C168" s="54" t="s">
        <v>25</v>
      </c>
      <c r="D168" s="77" t="s">
        <v>414</v>
      </c>
      <c r="E168" s="77" t="s">
        <v>30</v>
      </c>
      <c r="F168" s="78" t="s">
        <v>1</v>
      </c>
      <c r="G168" s="54">
        <v>1</v>
      </c>
      <c r="H168" s="66"/>
      <c r="I168" s="69"/>
      <c r="J168" s="54"/>
      <c r="K168" s="60">
        <v>1</v>
      </c>
      <c r="L168" s="69">
        <v>1</v>
      </c>
      <c r="M168" s="54"/>
      <c r="N168" s="62" t="s">
        <v>629</v>
      </c>
      <c r="O168" s="54">
        <v>1</v>
      </c>
      <c r="P168" s="54"/>
      <c r="Q168" s="60"/>
      <c r="R168" s="63"/>
      <c r="S168" s="69">
        <v>1</v>
      </c>
      <c r="T168" s="79"/>
      <c r="U168" s="81"/>
      <c r="V168" s="54">
        <v>1</v>
      </c>
    </row>
    <row r="169" spans="1:22" ht="14.4" x14ac:dyDescent="0.25">
      <c r="A169" s="55">
        <v>163</v>
      </c>
      <c r="B169" s="54">
        <v>3015304</v>
      </c>
      <c r="C169" s="54" t="s">
        <v>25</v>
      </c>
      <c r="D169" s="77" t="s">
        <v>361</v>
      </c>
      <c r="E169" s="78" t="s">
        <v>2</v>
      </c>
      <c r="F169" s="78" t="s">
        <v>419</v>
      </c>
      <c r="G169" s="55">
        <v>1</v>
      </c>
      <c r="H169" s="66"/>
      <c r="I169" s="69"/>
      <c r="J169" s="54"/>
      <c r="K169" s="60">
        <v>1</v>
      </c>
      <c r="L169" s="69"/>
      <c r="M169" s="55">
        <v>1</v>
      </c>
      <c r="N169" s="62"/>
      <c r="O169" s="54"/>
      <c r="P169" s="54"/>
      <c r="Q169" s="60"/>
      <c r="R169" s="63"/>
      <c r="S169" s="69"/>
      <c r="T169" s="66">
        <v>1</v>
      </c>
      <c r="U169" s="81"/>
      <c r="V169" s="80"/>
    </row>
    <row r="170" spans="1:22" ht="59.25" customHeight="1" x14ac:dyDescent="0.25">
      <c r="A170" s="54">
        <v>164</v>
      </c>
      <c r="B170" s="54">
        <v>3017707</v>
      </c>
      <c r="C170" s="54" t="s">
        <v>25</v>
      </c>
      <c r="D170" s="77" t="s">
        <v>420</v>
      </c>
      <c r="E170" s="78" t="s">
        <v>83</v>
      </c>
      <c r="F170" s="78" t="s">
        <v>1</v>
      </c>
      <c r="G170" s="55">
        <v>1</v>
      </c>
      <c r="H170" s="66"/>
      <c r="I170" s="69"/>
      <c r="J170" s="54">
        <v>1</v>
      </c>
      <c r="K170" s="60"/>
      <c r="L170" s="69"/>
      <c r="M170" s="54">
        <v>1</v>
      </c>
      <c r="N170" s="62"/>
      <c r="O170" s="54"/>
      <c r="P170" s="54"/>
      <c r="Q170" s="60"/>
      <c r="R170" s="63"/>
      <c r="S170" s="69"/>
      <c r="T170" s="58">
        <v>1</v>
      </c>
      <c r="U170" s="81"/>
      <c r="V170" s="80"/>
    </row>
    <row r="171" spans="1:22" ht="60" customHeight="1" x14ac:dyDescent="0.25">
      <c r="A171" s="55">
        <v>165</v>
      </c>
      <c r="B171" s="54">
        <v>7539364</v>
      </c>
      <c r="C171" s="54" t="s">
        <v>25</v>
      </c>
      <c r="D171" s="77" t="s">
        <v>358</v>
      </c>
      <c r="E171" s="78" t="s">
        <v>185</v>
      </c>
      <c r="F171" s="78" t="s">
        <v>60</v>
      </c>
      <c r="G171" s="55">
        <v>1</v>
      </c>
      <c r="H171" s="66"/>
      <c r="I171" s="69"/>
      <c r="J171" s="54">
        <v>1</v>
      </c>
      <c r="K171" s="60"/>
      <c r="L171" s="69">
        <v>1</v>
      </c>
      <c r="M171" s="55"/>
      <c r="N171" s="62" t="s">
        <v>597</v>
      </c>
      <c r="O171" s="54"/>
      <c r="P171" s="54">
        <v>1</v>
      </c>
      <c r="Q171" s="60"/>
      <c r="R171" s="63"/>
      <c r="S171" s="69"/>
      <c r="T171" s="66">
        <v>1</v>
      </c>
      <c r="U171" s="81">
        <v>1</v>
      </c>
      <c r="V171" s="80"/>
    </row>
    <row r="172" spans="1:22" ht="14.4" x14ac:dyDescent="0.25">
      <c r="A172" s="54">
        <v>166</v>
      </c>
      <c r="B172" s="54">
        <v>7538168</v>
      </c>
      <c r="C172" s="54" t="s">
        <v>25</v>
      </c>
      <c r="D172" s="77" t="s">
        <v>380</v>
      </c>
      <c r="E172" s="78" t="s">
        <v>346</v>
      </c>
      <c r="F172" s="78" t="s">
        <v>1</v>
      </c>
      <c r="G172" s="55">
        <v>1</v>
      </c>
      <c r="H172" s="66"/>
      <c r="I172" s="69">
        <v>1</v>
      </c>
      <c r="J172" s="54"/>
      <c r="K172" s="60"/>
      <c r="L172" s="69">
        <v>1</v>
      </c>
      <c r="M172" s="55"/>
      <c r="N172" s="62" t="s">
        <v>592</v>
      </c>
      <c r="O172" s="54">
        <v>1</v>
      </c>
      <c r="P172" s="54"/>
      <c r="Q172" s="60"/>
      <c r="R172" s="63"/>
      <c r="S172" s="69"/>
      <c r="T172" s="66">
        <v>1</v>
      </c>
      <c r="U172" s="81">
        <v>1</v>
      </c>
      <c r="V172" s="80"/>
    </row>
    <row r="173" spans="1:22" ht="59.25" customHeight="1" x14ac:dyDescent="0.25">
      <c r="A173" s="55">
        <v>167</v>
      </c>
      <c r="B173" s="54">
        <v>7538166</v>
      </c>
      <c r="C173" s="54" t="s">
        <v>25</v>
      </c>
      <c r="D173" s="77" t="s">
        <v>423</v>
      </c>
      <c r="E173" s="78" t="s">
        <v>18</v>
      </c>
      <c r="F173" s="78" t="s">
        <v>1</v>
      </c>
      <c r="G173" s="55">
        <v>1</v>
      </c>
      <c r="H173" s="66"/>
      <c r="I173" s="69"/>
      <c r="J173" s="54"/>
      <c r="K173" s="60">
        <v>1</v>
      </c>
      <c r="L173" s="69">
        <v>1</v>
      </c>
      <c r="M173" s="55"/>
      <c r="N173" s="62" t="s">
        <v>630</v>
      </c>
      <c r="O173" s="54">
        <v>1</v>
      </c>
      <c r="P173" s="54"/>
      <c r="Q173" s="60"/>
      <c r="R173" s="63"/>
      <c r="S173" s="69"/>
      <c r="T173" s="66">
        <v>1</v>
      </c>
      <c r="U173" s="81">
        <v>1</v>
      </c>
      <c r="V173" s="80"/>
    </row>
    <row r="174" spans="1:22" ht="59.25" customHeight="1" x14ac:dyDescent="0.25">
      <c r="A174" s="54">
        <v>168</v>
      </c>
      <c r="B174" s="54">
        <v>7537221</v>
      </c>
      <c r="C174" s="54" t="s">
        <v>25</v>
      </c>
      <c r="D174" s="77" t="s">
        <v>631</v>
      </c>
      <c r="E174" s="78" t="s">
        <v>2</v>
      </c>
      <c r="F174" s="78" t="s">
        <v>1</v>
      </c>
      <c r="G174" s="54">
        <v>1</v>
      </c>
      <c r="H174" s="66"/>
      <c r="I174" s="69">
        <v>1</v>
      </c>
      <c r="J174" s="54"/>
      <c r="K174" s="60"/>
      <c r="L174" s="69">
        <v>1</v>
      </c>
      <c r="M174" s="54"/>
      <c r="N174" s="62" t="s">
        <v>632</v>
      </c>
      <c r="O174" s="54"/>
      <c r="P174" s="54">
        <v>1</v>
      </c>
      <c r="Q174" s="60"/>
      <c r="R174" s="63"/>
      <c r="S174" s="69"/>
      <c r="T174" s="66">
        <v>1</v>
      </c>
      <c r="U174" s="81">
        <v>1</v>
      </c>
      <c r="V174" s="80"/>
    </row>
    <row r="175" spans="1:22" ht="59.25" customHeight="1" x14ac:dyDescent="0.25">
      <c r="A175" s="55">
        <v>169</v>
      </c>
      <c r="B175" s="54">
        <v>7541401</v>
      </c>
      <c r="C175" s="54" t="s">
        <v>25</v>
      </c>
      <c r="D175" s="77" t="s">
        <v>633</v>
      </c>
      <c r="E175" s="78" t="s">
        <v>2</v>
      </c>
      <c r="F175" s="78" t="s">
        <v>1</v>
      </c>
      <c r="G175" s="54">
        <v>1</v>
      </c>
      <c r="H175" s="66"/>
      <c r="I175" s="69"/>
      <c r="J175" s="54">
        <v>1</v>
      </c>
      <c r="K175" s="60"/>
      <c r="L175" s="69">
        <v>1</v>
      </c>
      <c r="M175" s="54"/>
      <c r="N175" s="62" t="s">
        <v>634</v>
      </c>
      <c r="O175" s="54"/>
      <c r="P175" s="54">
        <v>1</v>
      </c>
      <c r="Q175" s="60"/>
      <c r="R175" s="63"/>
      <c r="S175" s="69"/>
      <c r="T175" s="66">
        <v>1</v>
      </c>
      <c r="U175" s="81">
        <v>1</v>
      </c>
      <c r="V175" s="80"/>
    </row>
    <row r="176" spans="1:22" ht="59.25" customHeight="1" x14ac:dyDescent="0.25">
      <c r="A176" s="54">
        <v>170</v>
      </c>
      <c r="B176" s="54">
        <v>7539350</v>
      </c>
      <c r="C176" s="54" t="s">
        <v>25</v>
      </c>
      <c r="D176" s="77" t="s">
        <v>635</v>
      </c>
      <c r="E176" s="78" t="s">
        <v>2</v>
      </c>
      <c r="F176" s="78" t="s">
        <v>1</v>
      </c>
      <c r="G176" s="54">
        <v>1</v>
      </c>
      <c r="H176" s="66"/>
      <c r="I176" s="69"/>
      <c r="J176" s="54">
        <v>1</v>
      </c>
      <c r="K176" s="60"/>
      <c r="L176" s="69">
        <v>1</v>
      </c>
      <c r="M176" s="54"/>
      <c r="N176" s="62" t="s">
        <v>636</v>
      </c>
      <c r="O176" s="54"/>
      <c r="P176" s="54">
        <v>1</v>
      </c>
      <c r="Q176" s="60"/>
      <c r="R176" s="63"/>
      <c r="S176" s="69"/>
      <c r="T176" s="66">
        <v>1</v>
      </c>
      <c r="U176" s="81">
        <v>1</v>
      </c>
      <c r="V176" s="54"/>
    </row>
    <row r="177" spans="1:22" ht="59.25" customHeight="1" x14ac:dyDescent="0.25">
      <c r="A177" s="55">
        <v>171</v>
      </c>
      <c r="B177" s="54">
        <v>7540139</v>
      </c>
      <c r="C177" s="54" t="s">
        <v>25</v>
      </c>
      <c r="D177" s="77" t="s">
        <v>637</v>
      </c>
      <c r="E177" s="78" t="s">
        <v>2</v>
      </c>
      <c r="F177" s="78" t="s">
        <v>1</v>
      </c>
      <c r="G177" s="54">
        <v>1</v>
      </c>
      <c r="H177" s="66"/>
      <c r="I177" s="69">
        <v>1</v>
      </c>
      <c r="J177" s="54"/>
      <c r="K177" s="60"/>
      <c r="L177" s="69">
        <v>1</v>
      </c>
      <c r="M177" s="54"/>
      <c r="N177" s="62" t="s">
        <v>638</v>
      </c>
      <c r="O177" s="54"/>
      <c r="P177" s="54">
        <v>1</v>
      </c>
      <c r="Q177" s="60"/>
      <c r="R177" s="63"/>
      <c r="S177" s="69">
        <v>1</v>
      </c>
      <c r="T177" s="79"/>
      <c r="U177" s="81"/>
      <c r="V177" s="54">
        <v>1</v>
      </c>
    </row>
    <row r="178" spans="1:22" ht="59.25" customHeight="1" x14ac:dyDescent="0.25">
      <c r="A178" s="54">
        <v>172</v>
      </c>
      <c r="B178" s="54">
        <v>3017957</v>
      </c>
      <c r="C178" s="54" t="s">
        <v>3</v>
      </c>
      <c r="D178" s="77" t="s">
        <v>505</v>
      </c>
      <c r="E178" s="78" t="s">
        <v>78</v>
      </c>
      <c r="F178" s="78" t="s">
        <v>1</v>
      </c>
      <c r="G178" s="55">
        <v>1</v>
      </c>
      <c r="H178" s="66"/>
      <c r="I178" s="69"/>
      <c r="J178" s="54">
        <v>1</v>
      </c>
      <c r="K178" s="60"/>
      <c r="L178" s="69">
        <v>1</v>
      </c>
      <c r="M178" s="55"/>
      <c r="N178" s="62" t="s">
        <v>596</v>
      </c>
      <c r="O178" s="54">
        <v>1</v>
      </c>
      <c r="P178" s="54"/>
      <c r="Q178" s="60"/>
      <c r="R178" s="63"/>
      <c r="S178" s="69"/>
      <c r="T178" s="66">
        <v>1</v>
      </c>
      <c r="U178" s="81">
        <v>1</v>
      </c>
      <c r="V178" s="80"/>
    </row>
    <row r="179" spans="1:22" ht="14.4" x14ac:dyDescent="0.25">
      <c r="A179" s="55">
        <v>173</v>
      </c>
      <c r="B179" s="54">
        <v>3017984</v>
      </c>
      <c r="C179" s="54" t="s">
        <v>3</v>
      </c>
      <c r="D179" s="77" t="s">
        <v>507</v>
      </c>
      <c r="E179" s="78" t="s">
        <v>103</v>
      </c>
      <c r="F179" s="78" t="s">
        <v>1</v>
      </c>
      <c r="G179" s="55">
        <v>1</v>
      </c>
      <c r="H179" s="66"/>
      <c r="I179" s="69"/>
      <c r="J179" s="54">
        <v>1</v>
      </c>
      <c r="K179" s="60"/>
      <c r="L179" s="69">
        <v>1</v>
      </c>
      <c r="M179" s="55"/>
      <c r="N179" s="62" t="s">
        <v>639</v>
      </c>
      <c r="O179" s="54">
        <v>1</v>
      </c>
      <c r="P179" s="54"/>
      <c r="Q179" s="60"/>
      <c r="R179" s="63"/>
      <c r="S179" s="69"/>
      <c r="T179" s="66">
        <v>1</v>
      </c>
      <c r="U179" s="81">
        <v>1</v>
      </c>
      <c r="V179" s="80"/>
    </row>
    <row r="180" spans="1:22" ht="59.25" customHeight="1" x14ac:dyDescent="0.25">
      <c r="A180" s="54">
        <v>174</v>
      </c>
      <c r="B180" s="54">
        <v>3017988</v>
      </c>
      <c r="C180" s="54" t="s">
        <v>3</v>
      </c>
      <c r="D180" s="62" t="s">
        <v>508</v>
      </c>
      <c r="E180" s="74" t="s">
        <v>509</v>
      </c>
      <c r="F180" s="74" t="s">
        <v>1</v>
      </c>
      <c r="G180" s="55">
        <v>1</v>
      </c>
      <c r="H180" s="66"/>
      <c r="I180" s="69"/>
      <c r="J180" s="54">
        <v>1</v>
      </c>
      <c r="K180" s="60"/>
      <c r="L180" s="69">
        <v>1</v>
      </c>
      <c r="M180" s="55"/>
      <c r="N180" s="62" t="s">
        <v>640</v>
      </c>
      <c r="O180" s="54">
        <v>1</v>
      </c>
      <c r="P180" s="54"/>
      <c r="Q180" s="60"/>
      <c r="R180" s="63"/>
      <c r="S180" s="69">
        <v>1</v>
      </c>
      <c r="T180" s="79"/>
      <c r="U180" s="81"/>
      <c r="V180" s="54">
        <v>1</v>
      </c>
    </row>
    <row r="181" spans="1:22" ht="14.4" x14ac:dyDescent="0.25">
      <c r="A181" s="55">
        <v>175</v>
      </c>
      <c r="B181" s="54">
        <v>3018074</v>
      </c>
      <c r="C181" s="54" t="s">
        <v>3</v>
      </c>
      <c r="D181" s="62" t="s">
        <v>510</v>
      </c>
      <c r="E181" s="74" t="s">
        <v>113</v>
      </c>
      <c r="F181" s="78" t="s">
        <v>1</v>
      </c>
      <c r="G181" s="55">
        <v>1</v>
      </c>
      <c r="H181" s="66"/>
      <c r="I181" s="69">
        <v>1</v>
      </c>
      <c r="J181" s="54"/>
      <c r="K181" s="60"/>
      <c r="L181" s="69">
        <v>1</v>
      </c>
      <c r="M181" s="55"/>
      <c r="N181" s="62" t="s">
        <v>641</v>
      </c>
      <c r="O181" s="54">
        <v>1</v>
      </c>
      <c r="P181" s="54"/>
      <c r="Q181" s="60"/>
      <c r="R181" s="63"/>
      <c r="S181" s="69"/>
      <c r="T181" s="66">
        <v>1</v>
      </c>
      <c r="U181" s="81">
        <v>1</v>
      </c>
      <c r="V181" s="80"/>
    </row>
    <row r="182" spans="1:22" ht="59.25" customHeight="1" thickBot="1" x14ac:dyDescent="0.3">
      <c r="A182" s="54">
        <v>176</v>
      </c>
      <c r="B182" s="54">
        <v>3018094</v>
      </c>
      <c r="C182" s="54" t="s">
        <v>3</v>
      </c>
      <c r="D182" s="78" t="s">
        <v>511</v>
      </c>
      <c r="E182" s="74" t="s">
        <v>28</v>
      </c>
      <c r="F182" s="74" t="s">
        <v>1</v>
      </c>
      <c r="G182" s="55">
        <v>1</v>
      </c>
      <c r="H182" s="66"/>
      <c r="I182" s="69">
        <v>1</v>
      </c>
      <c r="J182" s="54"/>
      <c r="K182" s="60"/>
      <c r="L182" s="69">
        <v>1</v>
      </c>
      <c r="M182" s="54"/>
      <c r="N182" s="62" t="s">
        <v>642</v>
      </c>
      <c r="O182" s="54"/>
      <c r="P182" s="54">
        <v>1</v>
      </c>
      <c r="Q182" s="60"/>
      <c r="R182" s="63"/>
      <c r="S182" s="69"/>
      <c r="T182" s="66">
        <v>1</v>
      </c>
      <c r="U182" s="81">
        <v>1</v>
      </c>
      <c r="V182" s="80"/>
    </row>
    <row r="183" spans="1:22" ht="24.6" thickTop="1" thickBot="1" x14ac:dyDescent="0.3">
      <c r="A183" s="198" t="s">
        <v>286</v>
      </c>
      <c r="B183" s="198"/>
      <c r="C183" s="198"/>
      <c r="D183" s="198"/>
      <c r="E183" s="198"/>
      <c r="F183" s="198"/>
      <c r="G183" s="125">
        <f t="shared" ref="G183:M183" si="0">SUM(G7:G182)</f>
        <v>173</v>
      </c>
      <c r="H183" s="37">
        <f t="shared" si="0"/>
        <v>0</v>
      </c>
      <c r="I183" s="38">
        <f t="shared" si="0"/>
        <v>41</v>
      </c>
      <c r="J183" s="38">
        <f t="shared" si="0"/>
        <v>86</v>
      </c>
      <c r="K183" s="38">
        <f t="shared" si="0"/>
        <v>46</v>
      </c>
      <c r="L183" s="88">
        <f t="shared" si="0"/>
        <v>81</v>
      </c>
      <c r="M183" s="4">
        <f t="shared" si="0"/>
        <v>93</v>
      </c>
      <c r="N183" s="6"/>
      <c r="O183" s="4">
        <f>SUM(O7:O182)</f>
        <v>21</v>
      </c>
      <c r="P183" s="4">
        <f>SUM(P7:P182)</f>
        <v>32</v>
      </c>
      <c r="Q183" s="39">
        <f>SUM(Q7:Q182)</f>
        <v>28</v>
      </c>
      <c r="R183" s="50"/>
      <c r="S183" s="38">
        <f>SUM(S7:S182)</f>
        <v>82</v>
      </c>
      <c r="T183" s="37">
        <f>SUM(T7:T182)</f>
        <v>91</v>
      </c>
      <c r="U183" s="5">
        <f>SUM(U7:U182)</f>
        <v>36</v>
      </c>
      <c r="V183" s="4">
        <f>SUM(V7:V182)</f>
        <v>45</v>
      </c>
    </row>
    <row r="184" spans="1:22" ht="24.6" thickTop="1" thickBot="1" x14ac:dyDescent="0.3">
      <c r="A184" s="198" t="s">
        <v>426</v>
      </c>
      <c r="B184" s="198"/>
      <c r="C184" s="198"/>
      <c r="D184" s="198"/>
      <c r="E184" s="198"/>
      <c r="F184" s="198"/>
      <c r="G184" s="198">
        <f>+G183+H183</f>
        <v>173</v>
      </c>
      <c r="H184" s="218"/>
      <c r="I184" s="199">
        <f>+I183+J183+K183</f>
        <v>173</v>
      </c>
      <c r="J184" s="200"/>
      <c r="K184" s="201"/>
      <c r="L184" s="219">
        <f>+L183+M183</f>
        <v>174</v>
      </c>
      <c r="M184" s="220"/>
      <c r="N184" s="6"/>
      <c r="O184" s="202">
        <f>+O183+P183+Q183</f>
        <v>81</v>
      </c>
      <c r="P184" s="203"/>
      <c r="Q184" s="203"/>
      <c r="R184" s="50"/>
      <c r="S184" s="221">
        <f>+S183+T183</f>
        <v>173</v>
      </c>
      <c r="T184" s="222"/>
      <c r="U184" s="216">
        <f>+U183+V183</f>
        <v>81</v>
      </c>
      <c r="V184" s="217"/>
    </row>
    <row r="185" spans="1:22" ht="13.8" thickTop="1" x14ac:dyDescent="0.25"/>
  </sheetData>
  <mergeCells count="29">
    <mergeCell ref="S3:V3"/>
    <mergeCell ref="S4:T4"/>
    <mergeCell ref="U4:V4"/>
    <mergeCell ref="A2:V2"/>
    <mergeCell ref="A3:A5"/>
    <mergeCell ref="B3:B5"/>
    <mergeCell ref="C3:C5"/>
    <mergeCell ref="D3:D5"/>
    <mergeCell ref="E3:E5"/>
    <mergeCell ref="F3:F5"/>
    <mergeCell ref="G3:H4"/>
    <mergeCell ref="I3:K4"/>
    <mergeCell ref="L3:M4"/>
    <mergeCell ref="N3:N5"/>
    <mergeCell ref="O3:Q4"/>
    <mergeCell ref="R3:R5"/>
    <mergeCell ref="I6:K6"/>
    <mergeCell ref="O6:Q6"/>
    <mergeCell ref="S6:V6"/>
    <mergeCell ref="B7:D10"/>
    <mergeCell ref="E7:F10"/>
    <mergeCell ref="A183:F183"/>
    <mergeCell ref="U184:V184"/>
    <mergeCell ref="A184:F184"/>
    <mergeCell ref="G184:H184"/>
    <mergeCell ref="I184:K184"/>
    <mergeCell ref="L184:M184"/>
    <mergeCell ref="O184:Q184"/>
    <mergeCell ref="S184:T184"/>
  </mergeCells>
  <conditionalFormatting sqref="B1:B6 B11:B184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1468-1D99-4D30-A9F9-A5237BFDA932}">
  <sheetPr>
    <tabColor rgb="FFFF0000"/>
  </sheetPr>
  <dimension ref="A1:V76"/>
  <sheetViews>
    <sheetView zoomScale="64" zoomScaleNormal="64" workbookViewId="0">
      <selection activeCell="E17" sqref="E17"/>
    </sheetView>
  </sheetViews>
  <sheetFormatPr defaultRowHeight="13.2" x14ac:dyDescent="0.25"/>
  <cols>
    <col min="1" max="1" width="6.109375" customWidth="1"/>
    <col min="2" max="2" width="9.44140625" customWidth="1"/>
    <col min="3" max="3" width="11" customWidth="1"/>
    <col min="4" max="4" width="42.5546875" customWidth="1"/>
    <col min="5" max="5" width="17.88671875" customWidth="1"/>
    <col min="6" max="6" width="17.33203125" customWidth="1"/>
    <col min="7" max="7" width="15.44140625" customWidth="1"/>
    <col min="14" max="14" width="12.6640625" customWidth="1"/>
    <col min="18" max="18" width="45.33203125" customWidth="1"/>
  </cols>
  <sheetData>
    <row r="1" spans="1:22" ht="14.4" x14ac:dyDescent="0.25">
      <c r="A1" s="2"/>
      <c r="B1" s="1"/>
      <c r="C1" s="1"/>
      <c r="D1" s="3"/>
      <c r="E1" s="3"/>
      <c r="F1" s="1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7"/>
      <c r="S1" s="2"/>
      <c r="T1" s="2"/>
      <c r="U1" s="2"/>
      <c r="V1" s="2"/>
    </row>
    <row r="2" spans="1:22" ht="23.4" x14ac:dyDescent="0.25">
      <c r="A2" s="212" t="s">
        <v>652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3"/>
      <c r="O2" s="212"/>
      <c r="P2" s="212"/>
      <c r="Q2" s="212"/>
      <c r="R2" s="212"/>
      <c r="S2" s="212"/>
      <c r="T2" s="212"/>
      <c r="U2" s="212"/>
      <c r="V2" s="212"/>
    </row>
    <row r="3" spans="1:22" x14ac:dyDescent="0.25">
      <c r="A3" s="207" t="s">
        <v>260</v>
      </c>
      <c r="B3" s="207" t="s">
        <v>259</v>
      </c>
      <c r="C3" s="207" t="s">
        <v>258</v>
      </c>
      <c r="D3" s="207" t="s">
        <v>257</v>
      </c>
      <c r="E3" s="207" t="s">
        <v>256</v>
      </c>
      <c r="F3" s="207" t="s">
        <v>255</v>
      </c>
      <c r="G3" s="208" t="s">
        <v>590</v>
      </c>
      <c r="H3" s="246"/>
      <c r="I3" s="214" t="s">
        <v>274</v>
      </c>
      <c r="J3" s="209"/>
      <c r="K3" s="209"/>
      <c r="L3" s="214" t="s">
        <v>285</v>
      </c>
      <c r="M3" s="248"/>
      <c r="N3" s="207" t="s">
        <v>275</v>
      </c>
      <c r="O3" s="208" t="s">
        <v>274</v>
      </c>
      <c r="P3" s="209"/>
      <c r="Q3" s="209"/>
      <c r="R3" s="250" t="s">
        <v>512</v>
      </c>
      <c r="S3" s="241" t="s">
        <v>446</v>
      </c>
      <c r="T3" s="242"/>
      <c r="U3" s="242"/>
      <c r="V3" s="243"/>
    </row>
    <row r="4" spans="1:22" x14ac:dyDescent="0.25">
      <c r="A4" s="207"/>
      <c r="B4" s="207"/>
      <c r="C4" s="207"/>
      <c r="D4" s="207"/>
      <c r="E4" s="207"/>
      <c r="F4" s="207"/>
      <c r="G4" s="210"/>
      <c r="H4" s="247"/>
      <c r="I4" s="215"/>
      <c r="J4" s="211"/>
      <c r="K4" s="211"/>
      <c r="L4" s="215"/>
      <c r="M4" s="249"/>
      <c r="N4" s="207"/>
      <c r="O4" s="210"/>
      <c r="P4" s="211"/>
      <c r="Q4" s="211"/>
      <c r="R4" s="250"/>
      <c r="S4" s="244" t="s">
        <v>427</v>
      </c>
      <c r="T4" s="245"/>
      <c r="U4" s="243" t="s">
        <v>275</v>
      </c>
      <c r="V4" s="207"/>
    </row>
    <row r="5" spans="1:22" ht="26.4" x14ac:dyDescent="0.25">
      <c r="A5" s="207"/>
      <c r="B5" s="207"/>
      <c r="C5" s="207"/>
      <c r="D5" s="207"/>
      <c r="E5" s="207"/>
      <c r="F5" s="207"/>
      <c r="G5" s="8" t="s">
        <v>279</v>
      </c>
      <c r="H5" s="11" t="s">
        <v>280</v>
      </c>
      <c r="I5" s="10" t="s">
        <v>276</v>
      </c>
      <c r="J5" s="8" t="s">
        <v>277</v>
      </c>
      <c r="K5" s="47" t="s">
        <v>278</v>
      </c>
      <c r="L5" s="10" t="s">
        <v>279</v>
      </c>
      <c r="M5" s="8" t="s">
        <v>280</v>
      </c>
      <c r="N5" s="207"/>
      <c r="O5" s="8" t="s">
        <v>276</v>
      </c>
      <c r="P5" s="8" t="s">
        <v>277</v>
      </c>
      <c r="Q5" s="47" t="s">
        <v>278</v>
      </c>
      <c r="R5" s="250"/>
      <c r="S5" s="10" t="s">
        <v>282</v>
      </c>
      <c r="T5" s="12" t="s">
        <v>283</v>
      </c>
      <c r="U5" s="9" t="s">
        <v>282</v>
      </c>
      <c r="V5" s="13" t="s">
        <v>283</v>
      </c>
    </row>
    <row r="6" spans="1:22" x14ac:dyDescent="0.25">
      <c r="A6" s="14" t="s">
        <v>254</v>
      </c>
      <c r="B6" s="14" t="s">
        <v>253</v>
      </c>
      <c r="C6" s="14" t="s">
        <v>252</v>
      </c>
      <c r="D6" s="14" t="s">
        <v>251</v>
      </c>
      <c r="E6" s="14" t="s">
        <v>281</v>
      </c>
      <c r="F6" s="14" t="s">
        <v>250</v>
      </c>
      <c r="G6" s="14" t="s">
        <v>249</v>
      </c>
      <c r="H6" s="15" t="s">
        <v>248</v>
      </c>
      <c r="I6" s="204" t="s">
        <v>247</v>
      </c>
      <c r="J6" s="205"/>
      <c r="K6" s="206"/>
      <c r="L6" s="46" t="s">
        <v>246</v>
      </c>
      <c r="M6" s="14" t="s">
        <v>245</v>
      </c>
      <c r="N6" s="14" t="s">
        <v>284</v>
      </c>
      <c r="O6" s="205" t="s">
        <v>318</v>
      </c>
      <c r="P6" s="205"/>
      <c r="Q6" s="206"/>
      <c r="R6" s="48" t="s">
        <v>319</v>
      </c>
      <c r="S6" s="223" t="s">
        <v>428</v>
      </c>
      <c r="T6" s="224"/>
      <c r="U6" s="224"/>
      <c r="V6" s="225"/>
    </row>
    <row r="7" spans="1:22" ht="52.5" customHeight="1" x14ac:dyDescent="0.25">
      <c r="A7" s="90">
        <v>1</v>
      </c>
      <c r="B7" s="91">
        <v>3006672</v>
      </c>
      <c r="C7" s="91" t="s">
        <v>232</v>
      </c>
      <c r="D7" s="92" t="s">
        <v>241</v>
      </c>
      <c r="E7" s="93" t="s">
        <v>323</v>
      </c>
      <c r="F7" s="92" t="s">
        <v>238</v>
      </c>
      <c r="G7" s="91"/>
      <c r="H7" s="94">
        <v>1</v>
      </c>
      <c r="I7" s="95"/>
      <c r="J7" s="90"/>
      <c r="K7" s="96"/>
      <c r="L7" s="97"/>
      <c r="M7" s="91"/>
      <c r="N7" s="98"/>
      <c r="O7" s="90"/>
      <c r="P7" s="90"/>
      <c r="Q7" s="96"/>
      <c r="R7" s="99" t="s">
        <v>514</v>
      </c>
      <c r="S7" s="97"/>
      <c r="T7" s="94"/>
      <c r="U7" s="100"/>
      <c r="V7" s="91"/>
    </row>
    <row r="8" spans="1:22" ht="49.5" customHeight="1" x14ac:dyDescent="0.25">
      <c r="A8" s="90">
        <v>2</v>
      </c>
      <c r="B8" s="91">
        <v>3010187</v>
      </c>
      <c r="C8" s="91" t="s">
        <v>232</v>
      </c>
      <c r="D8" s="92" t="s">
        <v>195</v>
      </c>
      <c r="E8" s="93" t="s">
        <v>20</v>
      </c>
      <c r="F8" s="92" t="s">
        <v>324</v>
      </c>
      <c r="G8" s="91"/>
      <c r="H8" s="94">
        <v>1</v>
      </c>
      <c r="I8" s="95"/>
      <c r="J8" s="90"/>
      <c r="K8" s="96"/>
      <c r="L8" s="97"/>
      <c r="M8" s="91"/>
      <c r="N8" s="115"/>
      <c r="O8" s="90"/>
      <c r="P8" s="90"/>
      <c r="Q8" s="96"/>
      <c r="R8" s="99" t="s">
        <v>643</v>
      </c>
      <c r="S8" s="97"/>
      <c r="T8" s="94"/>
      <c r="U8" s="100"/>
      <c r="V8" s="91"/>
    </row>
    <row r="9" spans="1:22" ht="49.5" customHeight="1" x14ac:dyDescent="0.25">
      <c r="A9" s="90">
        <v>3</v>
      </c>
      <c r="B9" s="91">
        <v>3010206</v>
      </c>
      <c r="C9" s="91" t="s">
        <v>232</v>
      </c>
      <c r="D9" s="92" t="s">
        <v>386</v>
      </c>
      <c r="E9" s="93" t="s">
        <v>273</v>
      </c>
      <c r="F9" s="92" t="s">
        <v>236</v>
      </c>
      <c r="G9" s="123"/>
      <c r="H9" s="124">
        <v>1</v>
      </c>
      <c r="I9" s="95"/>
      <c r="J9" s="90"/>
      <c r="K9" s="96"/>
      <c r="L9" s="103"/>
      <c r="M9" s="123"/>
      <c r="N9" s="98"/>
      <c r="O9" s="90"/>
      <c r="P9" s="90"/>
      <c r="Q9" s="96"/>
      <c r="R9" s="99" t="s">
        <v>582</v>
      </c>
      <c r="S9" s="97"/>
      <c r="T9" s="124"/>
      <c r="U9" s="100"/>
      <c r="V9" s="123"/>
    </row>
    <row r="10" spans="1:22" ht="14.4" x14ac:dyDescent="0.25">
      <c r="A10" s="90">
        <v>4</v>
      </c>
      <c r="B10" s="91">
        <v>3010822</v>
      </c>
      <c r="C10" s="91" t="s">
        <v>232</v>
      </c>
      <c r="D10" s="92" t="s">
        <v>267</v>
      </c>
      <c r="E10" s="93" t="s">
        <v>0</v>
      </c>
      <c r="F10" s="92" t="s">
        <v>238</v>
      </c>
      <c r="G10" s="91"/>
      <c r="H10" s="94">
        <v>1</v>
      </c>
      <c r="I10" s="95"/>
      <c r="J10" s="90"/>
      <c r="K10" s="96"/>
      <c r="L10" s="97"/>
      <c r="M10" s="91"/>
      <c r="N10" s="98"/>
      <c r="O10" s="90"/>
      <c r="P10" s="90"/>
      <c r="Q10" s="96"/>
      <c r="R10" s="99" t="s">
        <v>583</v>
      </c>
      <c r="S10" s="97"/>
      <c r="T10" s="94"/>
      <c r="U10" s="100"/>
      <c r="V10" s="91"/>
    </row>
    <row r="11" spans="1:22" ht="50.25" customHeight="1" x14ac:dyDescent="0.25">
      <c r="A11" s="90">
        <v>5</v>
      </c>
      <c r="B11" s="91">
        <v>3006807</v>
      </c>
      <c r="C11" s="91" t="s">
        <v>232</v>
      </c>
      <c r="D11" s="92" t="s">
        <v>226</v>
      </c>
      <c r="E11" s="93" t="s">
        <v>242</v>
      </c>
      <c r="F11" s="92" t="s">
        <v>387</v>
      </c>
      <c r="G11" s="123"/>
      <c r="H11" s="124">
        <v>1</v>
      </c>
      <c r="I11" s="95"/>
      <c r="J11" s="90"/>
      <c r="K11" s="96"/>
      <c r="L11" s="103"/>
      <c r="M11" s="123"/>
      <c r="N11" s="98"/>
      <c r="O11" s="90"/>
      <c r="P11" s="90"/>
      <c r="Q11" s="96"/>
      <c r="R11" s="99" t="s">
        <v>643</v>
      </c>
      <c r="S11" s="97"/>
      <c r="T11" s="124"/>
      <c r="U11" s="100"/>
      <c r="V11" s="123"/>
    </row>
    <row r="12" spans="1:22" ht="50.25" customHeight="1" x14ac:dyDescent="0.25">
      <c r="A12" s="90">
        <v>6</v>
      </c>
      <c r="B12" s="91">
        <v>3005933</v>
      </c>
      <c r="C12" s="91" t="s">
        <v>461</v>
      </c>
      <c r="D12" s="92" t="s">
        <v>230</v>
      </c>
      <c r="E12" s="93" t="s">
        <v>94</v>
      </c>
      <c r="F12" s="92" t="s">
        <v>167</v>
      </c>
      <c r="G12" s="91"/>
      <c r="H12" s="94">
        <v>1</v>
      </c>
      <c r="I12" s="95"/>
      <c r="J12" s="90"/>
      <c r="K12" s="96"/>
      <c r="L12" s="97"/>
      <c r="M12" s="91"/>
      <c r="N12" s="98"/>
      <c r="O12" s="90"/>
      <c r="P12" s="90"/>
      <c r="Q12" s="96"/>
      <c r="R12" s="99" t="s">
        <v>513</v>
      </c>
      <c r="S12" s="97"/>
      <c r="T12" s="94"/>
      <c r="U12" s="100"/>
      <c r="V12" s="91"/>
    </row>
    <row r="13" spans="1:22" ht="51" customHeight="1" x14ac:dyDescent="0.25">
      <c r="A13" s="90">
        <v>7</v>
      </c>
      <c r="B13" s="91">
        <v>3005934</v>
      </c>
      <c r="C13" s="91" t="s">
        <v>461</v>
      </c>
      <c r="D13" s="92" t="s">
        <v>234</v>
      </c>
      <c r="E13" s="93" t="s">
        <v>131</v>
      </c>
      <c r="F13" s="92" t="s">
        <v>233</v>
      </c>
      <c r="G13" s="91"/>
      <c r="H13" s="94">
        <v>1</v>
      </c>
      <c r="I13" s="95"/>
      <c r="J13" s="90"/>
      <c r="K13" s="96"/>
      <c r="L13" s="97"/>
      <c r="M13" s="91"/>
      <c r="N13" s="98"/>
      <c r="O13" s="90"/>
      <c r="P13" s="90"/>
      <c r="Q13" s="96"/>
      <c r="R13" s="99" t="s">
        <v>591</v>
      </c>
      <c r="S13" s="97"/>
      <c r="T13" s="94"/>
      <c r="U13" s="100"/>
      <c r="V13" s="91"/>
    </row>
    <row r="14" spans="1:22" ht="49.5" customHeight="1" x14ac:dyDescent="0.25">
      <c r="A14" s="90">
        <v>8</v>
      </c>
      <c r="B14" s="91">
        <v>3006690</v>
      </c>
      <c r="C14" s="91" t="s">
        <v>179</v>
      </c>
      <c r="D14" s="92" t="s">
        <v>227</v>
      </c>
      <c r="E14" s="93" t="s">
        <v>205</v>
      </c>
      <c r="F14" s="92" t="s">
        <v>123</v>
      </c>
      <c r="G14" s="91"/>
      <c r="H14" s="94">
        <v>1</v>
      </c>
      <c r="I14" s="95"/>
      <c r="J14" s="90"/>
      <c r="K14" s="96"/>
      <c r="L14" s="97"/>
      <c r="M14" s="91"/>
      <c r="N14" s="98"/>
      <c r="O14" s="90"/>
      <c r="P14" s="90"/>
      <c r="Q14" s="96"/>
      <c r="R14" s="99" t="s">
        <v>599</v>
      </c>
      <c r="S14" s="97"/>
      <c r="T14" s="94"/>
      <c r="U14" s="100"/>
      <c r="V14" s="91"/>
    </row>
    <row r="15" spans="1:22" ht="50.25" customHeight="1" x14ac:dyDescent="0.25">
      <c r="A15" s="90">
        <v>9</v>
      </c>
      <c r="B15" s="91">
        <v>3006810</v>
      </c>
      <c r="C15" s="91" t="s">
        <v>170</v>
      </c>
      <c r="D15" s="92" t="s">
        <v>466</v>
      </c>
      <c r="E15" s="93" t="s">
        <v>270</v>
      </c>
      <c r="F15" s="92" t="s">
        <v>467</v>
      </c>
      <c r="G15" s="123"/>
      <c r="H15" s="124">
        <v>1</v>
      </c>
      <c r="I15" s="95"/>
      <c r="J15" s="90"/>
      <c r="K15" s="96"/>
      <c r="L15" s="103"/>
      <c r="M15" s="123"/>
      <c r="N15" s="120"/>
      <c r="O15" s="90"/>
      <c r="P15" s="90"/>
      <c r="Q15" s="96"/>
      <c r="R15" s="99" t="s">
        <v>643</v>
      </c>
      <c r="S15" s="97"/>
      <c r="T15" s="124"/>
      <c r="U15" s="100"/>
      <c r="V15" s="123"/>
    </row>
    <row r="16" spans="1:22" ht="50.25" customHeight="1" x14ac:dyDescent="0.25">
      <c r="A16" s="90">
        <v>10</v>
      </c>
      <c r="B16" s="91">
        <v>3008219</v>
      </c>
      <c r="C16" s="91" t="s">
        <v>170</v>
      </c>
      <c r="D16" s="92" t="s">
        <v>214</v>
      </c>
      <c r="E16" s="93" t="s">
        <v>269</v>
      </c>
      <c r="F16" s="92" t="s">
        <v>200</v>
      </c>
      <c r="G16" s="91"/>
      <c r="H16" s="94">
        <v>1</v>
      </c>
      <c r="I16" s="106"/>
      <c r="J16" s="90"/>
      <c r="K16" s="96"/>
      <c r="L16" s="97"/>
      <c r="M16" s="91"/>
      <c r="N16" s="98"/>
      <c r="O16" s="90"/>
      <c r="P16" s="90"/>
      <c r="Q16" s="96"/>
      <c r="R16" s="99" t="s">
        <v>644</v>
      </c>
      <c r="S16" s="97"/>
      <c r="T16" s="94"/>
      <c r="U16" s="100"/>
      <c r="V16" s="91"/>
    </row>
    <row r="17" spans="1:22" ht="50.25" customHeight="1" x14ac:dyDescent="0.25">
      <c r="A17" s="90">
        <v>11</v>
      </c>
      <c r="B17" s="91">
        <v>3009154</v>
      </c>
      <c r="C17" s="91" t="s">
        <v>170</v>
      </c>
      <c r="D17" s="92" t="s">
        <v>209</v>
      </c>
      <c r="E17" s="93" t="s">
        <v>89</v>
      </c>
      <c r="F17" s="92" t="s">
        <v>167</v>
      </c>
      <c r="G17" s="91"/>
      <c r="H17" s="94">
        <v>1</v>
      </c>
      <c r="I17" s="95"/>
      <c r="J17" s="90"/>
      <c r="K17" s="96"/>
      <c r="L17" s="97"/>
      <c r="M17" s="91"/>
      <c r="N17" s="98"/>
      <c r="O17" s="90"/>
      <c r="P17" s="90"/>
      <c r="Q17" s="96"/>
      <c r="R17" s="99" t="s">
        <v>515</v>
      </c>
      <c r="S17" s="97"/>
      <c r="T17" s="94"/>
      <c r="U17" s="100"/>
      <c r="V17" s="91"/>
    </row>
    <row r="18" spans="1:22" ht="50.25" customHeight="1" x14ac:dyDescent="0.25">
      <c r="A18" s="90">
        <v>12</v>
      </c>
      <c r="B18" s="91">
        <v>7510166</v>
      </c>
      <c r="C18" s="91" t="s">
        <v>170</v>
      </c>
      <c r="D18" s="92" t="s">
        <v>301</v>
      </c>
      <c r="E18" s="93" t="s">
        <v>468</v>
      </c>
      <c r="F18" s="92" t="s">
        <v>167</v>
      </c>
      <c r="G18" s="91"/>
      <c r="H18" s="94">
        <v>1</v>
      </c>
      <c r="I18" s="95"/>
      <c r="J18" s="90"/>
      <c r="K18" s="96"/>
      <c r="L18" s="97"/>
      <c r="M18" s="91"/>
      <c r="N18" s="98"/>
      <c r="O18" s="90"/>
      <c r="P18" s="90"/>
      <c r="Q18" s="96"/>
      <c r="R18" s="99" t="s">
        <v>516</v>
      </c>
      <c r="S18" s="97"/>
      <c r="T18" s="94"/>
      <c r="U18" s="100"/>
      <c r="V18" s="91"/>
    </row>
    <row r="19" spans="1:22" ht="51" customHeight="1" x14ac:dyDescent="0.25">
      <c r="A19" s="90">
        <v>13</v>
      </c>
      <c r="B19" s="91">
        <v>3009675</v>
      </c>
      <c r="C19" s="91" t="s">
        <v>170</v>
      </c>
      <c r="D19" s="92" t="s">
        <v>265</v>
      </c>
      <c r="E19" s="93" t="s">
        <v>72</v>
      </c>
      <c r="F19" s="92" t="s">
        <v>167</v>
      </c>
      <c r="G19" s="91"/>
      <c r="H19" s="94">
        <v>1</v>
      </c>
      <c r="I19" s="95"/>
      <c r="J19" s="90"/>
      <c r="K19" s="96"/>
      <c r="L19" s="97"/>
      <c r="M19" s="91"/>
      <c r="N19" s="98"/>
      <c r="O19" s="90"/>
      <c r="P19" s="90"/>
      <c r="Q19" s="96"/>
      <c r="R19" s="99"/>
      <c r="S19" s="97"/>
      <c r="T19" s="94"/>
      <c r="U19" s="100"/>
      <c r="V19" s="91"/>
    </row>
    <row r="20" spans="1:22" ht="51.75" customHeight="1" x14ac:dyDescent="0.25">
      <c r="A20" s="90">
        <v>14</v>
      </c>
      <c r="B20" s="91">
        <v>3009717</v>
      </c>
      <c r="C20" s="91" t="s">
        <v>170</v>
      </c>
      <c r="D20" s="92" t="s">
        <v>470</v>
      </c>
      <c r="E20" s="93" t="s">
        <v>471</v>
      </c>
      <c r="F20" s="92" t="s">
        <v>167</v>
      </c>
      <c r="G20" s="91"/>
      <c r="H20" s="94">
        <v>1</v>
      </c>
      <c r="I20" s="95"/>
      <c r="J20" s="90"/>
      <c r="K20" s="96"/>
      <c r="L20" s="97"/>
      <c r="M20" s="91"/>
      <c r="N20" s="98"/>
      <c r="O20" s="90"/>
      <c r="P20" s="90"/>
      <c r="Q20" s="96"/>
      <c r="R20" s="99" t="s">
        <v>517</v>
      </c>
      <c r="S20" s="97"/>
      <c r="T20" s="94"/>
      <c r="U20" s="100"/>
      <c r="V20" s="91"/>
    </row>
    <row r="21" spans="1:22" ht="50.25" customHeight="1" x14ac:dyDescent="0.25">
      <c r="A21" s="90">
        <v>15</v>
      </c>
      <c r="B21" s="91">
        <v>3008032</v>
      </c>
      <c r="C21" s="91" t="s">
        <v>170</v>
      </c>
      <c r="D21" s="92" t="s">
        <v>220</v>
      </c>
      <c r="E21" s="93" t="s">
        <v>16</v>
      </c>
      <c r="F21" s="92" t="s">
        <v>173</v>
      </c>
      <c r="G21" s="91"/>
      <c r="H21" s="94">
        <v>1</v>
      </c>
      <c r="I21" s="95"/>
      <c r="J21" s="90"/>
      <c r="K21" s="96"/>
      <c r="L21" s="97"/>
      <c r="M21" s="91"/>
      <c r="N21" s="98"/>
      <c r="O21" s="90"/>
      <c r="P21" s="90"/>
      <c r="Q21" s="96"/>
      <c r="R21" s="99" t="s">
        <v>645</v>
      </c>
      <c r="S21" s="97"/>
      <c r="T21" s="94"/>
      <c r="U21" s="100"/>
      <c r="V21" s="91"/>
    </row>
    <row r="22" spans="1:22" ht="50.25" customHeight="1" x14ac:dyDescent="0.25">
      <c r="A22" s="90">
        <v>16</v>
      </c>
      <c r="B22" s="91">
        <v>3008056</v>
      </c>
      <c r="C22" s="91" t="s">
        <v>170</v>
      </c>
      <c r="D22" s="92" t="s">
        <v>219</v>
      </c>
      <c r="E22" s="93" t="s">
        <v>218</v>
      </c>
      <c r="F22" s="92" t="s">
        <v>189</v>
      </c>
      <c r="G22" s="91"/>
      <c r="H22" s="94">
        <v>1</v>
      </c>
      <c r="I22" s="95"/>
      <c r="J22" s="90"/>
      <c r="K22" s="96"/>
      <c r="L22" s="97"/>
      <c r="M22" s="91"/>
      <c r="N22" s="98"/>
      <c r="O22" s="90"/>
      <c r="P22" s="90"/>
      <c r="Q22" s="96"/>
      <c r="R22" s="99" t="s">
        <v>518</v>
      </c>
      <c r="S22" s="97"/>
      <c r="T22" s="94"/>
      <c r="U22" s="100"/>
      <c r="V22" s="91"/>
    </row>
    <row r="23" spans="1:22" ht="50.25" customHeight="1" x14ac:dyDescent="0.25">
      <c r="A23" s="90">
        <v>17</v>
      </c>
      <c r="B23" s="91">
        <v>3010186</v>
      </c>
      <c r="C23" s="91" t="s">
        <v>170</v>
      </c>
      <c r="D23" s="92" t="s">
        <v>197</v>
      </c>
      <c r="E23" s="93" t="s">
        <v>196</v>
      </c>
      <c r="F23" s="92" t="s">
        <v>167</v>
      </c>
      <c r="G23" s="91"/>
      <c r="H23" s="94">
        <v>1</v>
      </c>
      <c r="I23" s="95"/>
      <c r="J23" s="90"/>
      <c r="K23" s="96"/>
      <c r="L23" s="97"/>
      <c r="M23" s="91"/>
      <c r="N23" s="98"/>
      <c r="O23" s="90"/>
      <c r="P23" s="90"/>
      <c r="Q23" s="96"/>
      <c r="R23" s="99" t="s">
        <v>519</v>
      </c>
      <c r="S23" s="97"/>
      <c r="T23" s="94"/>
      <c r="U23" s="100"/>
      <c r="V23" s="91"/>
    </row>
    <row r="24" spans="1:22" ht="14.4" x14ac:dyDescent="0.25">
      <c r="A24" s="90">
        <v>18</v>
      </c>
      <c r="B24" s="91">
        <v>3010650</v>
      </c>
      <c r="C24" s="91" t="s">
        <v>170</v>
      </c>
      <c r="D24" s="92" t="s">
        <v>475</v>
      </c>
      <c r="E24" s="93" t="s">
        <v>476</v>
      </c>
      <c r="F24" s="92" t="s">
        <v>167</v>
      </c>
      <c r="G24" s="91"/>
      <c r="H24" s="94">
        <v>1</v>
      </c>
      <c r="I24" s="95"/>
      <c r="J24" s="90"/>
      <c r="K24" s="96"/>
      <c r="L24" s="97"/>
      <c r="M24" s="91"/>
      <c r="N24" s="98"/>
      <c r="O24" s="90"/>
      <c r="P24" s="90"/>
      <c r="Q24" s="96"/>
      <c r="R24" s="99" t="s">
        <v>586</v>
      </c>
      <c r="S24" s="97"/>
      <c r="T24" s="94"/>
      <c r="U24" s="100"/>
      <c r="V24" s="91"/>
    </row>
    <row r="25" spans="1:22" ht="50.25" customHeight="1" x14ac:dyDescent="0.25">
      <c r="A25" s="90">
        <v>19</v>
      </c>
      <c r="B25" s="91">
        <v>3010024</v>
      </c>
      <c r="C25" s="91" t="s">
        <v>170</v>
      </c>
      <c r="D25" s="92" t="s">
        <v>199</v>
      </c>
      <c r="E25" s="93" t="s">
        <v>20</v>
      </c>
      <c r="F25" s="92" t="s">
        <v>167</v>
      </c>
      <c r="G25" s="91"/>
      <c r="H25" s="94">
        <v>1</v>
      </c>
      <c r="I25" s="95"/>
      <c r="J25" s="90"/>
      <c r="K25" s="96"/>
      <c r="L25" s="97"/>
      <c r="M25" s="91"/>
      <c r="N25" s="101"/>
      <c r="O25" s="90"/>
      <c r="P25" s="90"/>
      <c r="Q25" s="96"/>
      <c r="R25" s="99" t="s">
        <v>520</v>
      </c>
      <c r="S25" s="97"/>
      <c r="T25" s="94"/>
      <c r="U25" s="100"/>
      <c r="V25" s="91"/>
    </row>
    <row r="26" spans="1:22" ht="51" customHeight="1" x14ac:dyDescent="0.25">
      <c r="A26" s="90">
        <v>20</v>
      </c>
      <c r="B26" s="91">
        <v>3011592</v>
      </c>
      <c r="C26" s="91" t="s">
        <v>170</v>
      </c>
      <c r="D26" s="92" t="s">
        <v>182</v>
      </c>
      <c r="E26" s="102" t="s">
        <v>482</v>
      </c>
      <c r="F26" s="102" t="s">
        <v>189</v>
      </c>
      <c r="G26" s="123"/>
      <c r="H26" s="124">
        <v>1</v>
      </c>
      <c r="I26" s="106"/>
      <c r="J26" s="90"/>
      <c r="K26" s="96"/>
      <c r="L26" s="103"/>
      <c r="M26" s="123"/>
      <c r="N26" s="98"/>
      <c r="O26" s="90"/>
      <c r="P26" s="90"/>
      <c r="Q26" s="96"/>
      <c r="R26" s="99" t="s">
        <v>643</v>
      </c>
      <c r="S26" s="103"/>
      <c r="T26" s="124"/>
      <c r="U26" s="104"/>
      <c r="V26" s="123"/>
    </row>
    <row r="27" spans="1:22" ht="50.25" customHeight="1" x14ac:dyDescent="0.25">
      <c r="A27" s="90">
        <v>21</v>
      </c>
      <c r="B27" s="91">
        <v>3008975</v>
      </c>
      <c r="C27" s="91" t="s">
        <v>170</v>
      </c>
      <c r="D27" s="92" t="s">
        <v>327</v>
      </c>
      <c r="E27" s="93" t="s">
        <v>323</v>
      </c>
      <c r="F27" s="102" t="s">
        <v>189</v>
      </c>
      <c r="G27" s="91"/>
      <c r="H27" s="94">
        <v>1</v>
      </c>
      <c r="I27" s="95"/>
      <c r="J27" s="90"/>
      <c r="K27" s="96"/>
      <c r="L27" s="97"/>
      <c r="M27" s="91"/>
      <c r="N27" s="101"/>
      <c r="O27" s="90"/>
      <c r="P27" s="90"/>
      <c r="Q27" s="96"/>
      <c r="R27" s="99" t="s">
        <v>521</v>
      </c>
      <c r="S27" s="103"/>
      <c r="T27" s="94"/>
      <c r="U27" s="104"/>
      <c r="V27" s="91"/>
    </row>
    <row r="28" spans="1:22" ht="51" customHeight="1" x14ac:dyDescent="0.25">
      <c r="A28" s="90">
        <v>22</v>
      </c>
      <c r="B28" s="91">
        <v>3011588</v>
      </c>
      <c r="C28" s="91" t="s">
        <v>170</v>
      </c>
      <c r="D28" s="92" t="s">
        <v>188</v>
      </c>
      <c r="E28" s="93" t="s">
        <v>202</v>
      </c>
      <c r="F28" s="92" t="s">
        <v>167</v>
      </c>
      <c r="G28" s="91"/>
      <c r="H28" s="94">
        <v>1</v>
      </c>
      <c r="I28" s="95"/>
      <c r="J28" s="90"/>
      <c r="K28" s="96"/>
      <c r="L28" s="97"/>
      <c r="M28" s="91"/>
      <c r="N28" s="98"/>
      <c r="O28" s="90"/>
      <c r="P28" s="90"/>
      <c r="Q28" s="96"/>
      <c r="R28" s="99" t="s">
        <v>643</v>
      </c>
      <c r="S28" s="97"/>
      <c r="T28" s="94"/>
      <c r="U28" s="100"/>
      <c r="V28" s="91"/>
    </row>
    <row r="29" spans="1:22" ht="50.25" customHeight="1" x14ac:dyDescent="0.25">
      <c r="A29" s="90">
        <v>23</v>
      </c>
      <c r="B29" s="91">
        <v>3011910</v>
      </c>
      <c r="C29" s="91" t="s">
        <v>170</v>
      </c>
      <c r="D29" s="92" t="s">
        <v>147</v>
      </c>
      <c r="E29" s="102" t="s">
        <v>124</v>
      </c>
      <c r="F29" s="102" t="s">
        <v>173</v>
      </c>
      <c r="G29" s="91"/>
      <c r="H29" s="94">
        <v>1</v>
      </c>
      <c r="I29" s="95"/>
      <c r="J29" s="90"/>
      <c r="K29" s="96"/>
      <c r="L29" s="97"/>
      <c r="M29" s="91"/>
      <c r="N29" s="101"/>
      <c r="O29" s="90"/>
      <c r="P29" s="90"/>
      <c r="Q29" s="96"/>
      <c r="R29" s="99" t="s">
        <v>515</v>
      </c>
      <c r="S29" s="103"/>
      <c r="T29" s="94"/>
      <c r="U29" s="104"/>
      <c r="V29" s="91"/>
    </row>
    <row r="30" spans="1:22" ht="51" customHeight="1" x14ac:dyDescent="0.25">
      <c r="A30" s="90">
        <v>24</v>
      </c>
      <c r="B30" s="123">
        <v>3011943</v>
      </c>
      <c r="C30" s="91" t="s">
        <v>170</v>
      </c>
      <c r="D30" s="92" t="s">
        <v>172</v>
      </c>
      <c r="E30" s="93" t="s">
        <v>235</v>
      </c>
      <c r="F30" s="92" t="s">
        <v>167</v>
      </c>
      <c r="G30" s="91"/>
      <c r="H30" s="94">
        <v>1</v>
      </c>
      <c r="I30" s="95"/>
      <c r="J30" s="90"/>
      <c r="K30" s="96"/>
      <c r="L30" s="97"/>
      <c r="M30" s="91"/>
      <c r="N30" s="101"/>
      <c r="O30" s="90"/>
      <c r="P30" s="90"/>
      <c r="Q30" s="96"/>
      <c r="R30" s="99" t="s">
        <v>643</v>
      </c>
      <c r="S30" s="97"/>
      <c r="T30" s="94"/>
      <c r="U30" s="100"/>
      <c r="V30" s="91"/>
    </row>
    <row r="31" spans="1:22" ht="50.25" customHeight="1" x14ac:dyDescent="0.25">
      <c r="A31" s="90">
        <v>25</v>
      </c>
      <c r="B31" s="91">
        <v>3011148</v>
      </c>
      <c r="C31" s="91" t="s">
        <v>170</v>
      </c>
      <c r="D31" s="105" t="s">
        <v>190</v>
      </c>
      <c r="E31" s="93" t="s">
        <v>323</v>
      </c>
      <c r="F31" s="92" t="s">
        <v>189</v>
      </c>
      <c r="G31" s="90"/>
      <c r="H31" s="118">
        <v>1</v>
      </c>
      <c r="I31" s="106"/>
      <c r="J31" s="90"/>
      <c r="K31" s="96"/>
      <c r="L31" s="106"/>
      <c r="M31" s="90"/>
      <c r="N31" s="98"/>
      <c r="O31" s="90"/>
      <c r="P31" s="90"/>
      <c r="Q31" s="96"/>
      <c r="R31" s="99" t="s">
        <v>600</v>
      </c>
      <c r="S31" s="97"/>
      <c r="T31" s="118"/>
      <c r="U31" s="100"/>
      <c r="V31" s="90"/>
    </row>
    <row r="32" spans="1:22" ht="50.25" customHeight="1" x14ac:dyDescent="0.25">
      <c r="A32" s="90">
        <v>26</v>
      </c>
      <c r="B32" s="91">
        <v>3013038</v>
      </c>
      <c r="C32" s="91" t="s">
        <v>170</v>
      </c>
      <c r="D32" s="105" t="s">
        <v>138</v>
      </c>
      <c r="E32" s="98" t="s">
        <v>450</v>
      </c>
      <c r="F32" s="92" t="s">
        <v>331</v>
      </c>
      <c r="G32" s="91"/>
      <c r="H32" s="94">
        <v>1</v>
      </c>
      <c r="I32" s="106"/>
      <c r="J32" s="90"/>
      <c r="K32" s="96"/>
      <c r="L32" s="97"/>
      <c r="M32" s="91"/>
      <c r="N32" s="101"/>
      <c r="O32" s="90"/>
      <c r="P32" s="90"/>
      <c r="Q32" s="96"/>
      <c r="R32" s="99" t="s">
        <v>522</v>
      </c>
      <c r="S32" s="97"/>
      <c r="T32" s="94"/>
      <c r="U32" s="100"/>
      <c r="V32" s="91"/>
    </row>
    <row r="33" spans="1:22" ht="50.25" customHeight="1" x14ac:dyDescent="0.25">
      <c r="A33" s="90">
        <v>27</v>
      </c>
      <c r="B33" s="90">
        <v>3013627</v>
      </c>
      <c r="C33" s="90" t="s">
        <v>74</v>
      </c>
      <c r="D33" s="105" t="s">
        <v>90</v>
      </c>
      <c r="E33" s="93" t="s">
        <v>91</v>
      </c>
      <c r="F33" s="92" t="s">
        <v>169</v>
      </c>
      <c r="G33" s="90"/>
      <c r="H33" s="118">
        <v>1</v>
      </c>
      <c r="I33" s="97"/>
      <c r="J33" s="90"/>
      <c r="K33" s="96"/>
      <c r="L33" s="106"/>
      <c r="M33" s="90"/>
      <c r="N33" s="98"/>
      <c r="O33" s="90"/>
      <c r="P33" s="90"/>
      <c r="Q33" s="96"/>
      <c r="R33" s="99" t="s">
        <v>646</v>
      </c>
      <c r="S33" s="97"/>
      <c r="T33" s="118"/>
      <c r="U33" s="100"/>
      <c r="V33" s="90"/>
    </row>
    <row r="34" spans="1:22" ht="51" customHeight="1" x14ac:dyDescent="0.25">
      <c r="A34" s="90">
        <v>28</v>
      </c>
      <c r="B34" s="90">
        <v>3009538</v>
      </c>
      <c r="C34" s="90" t="s">
        <v>74</v>
      </c>
      <c r="D34" s="107" t="s">
        <v>159</v>
      </c>
      <c r="E34" s="107" t="s">
        <v>158</v>
      </c>
      <c r="F34" s="98" t="s">
        <v>4</v>
      </c>
      <c r="G34" s="90"/>
      <c r="H34" s="94">
        <v>1</v>
      </c>
      <c r="I34" s="97"/>
      <c r="J34" s="90"/>
      <c r="K34" s="96"/>
      <c r="L34" s="106"/>
      <c r="M34" s="91"/>
      <c r="N34" s="98"/>
      <c r="O34" s="90"/>
      <c r="P34" s="90"/>
      <c r="Q34" s="96"/>
      <c r="R34" s="99" t="s">
        <v>517</v>
      </c>
      <c r="S34" s="108"/>
      <c r="T34" s="109"/>
      <c r="U34" s="110"/>
      <c r="V34" s="111"/>
    </row>
    <row r="35" spans="1:22" ht="51" customHeight="1" x14ac:dyDescent="0.25">
      <c r="A35" s="90">
        <v>29</v>
      </c>
      <c r="B35" s="90">
        <v>3013384</v>
      </c>
      <c r="C35" s="90" t="s">
        <v>74</v>
      </c>
      <c r="D35" s="107" t="s">
        <v>337</v>
      </c>
      <c r="E35" s="107" t="s">
        <v>11</v>
      </c>
      <c r="F35" s="107" t="s">
        <v>60</v>
      </c>
      <c r="G35" s="101"/>
      <c r="H35" s="94">
        <v>1</v>
      </c>
      <c r="I35" s="112"/>
      <c r="J35" s="90"/>
      <c r="K35" s="96"/>
      <c r="L35" s="95"/>
      <c r="M35" s="91"/>
      <c r="N35" s="101"/>
      <c r="O35" s="90"/>
      <c r="P35" s="90"/>
      <c r="Q35" s="96"/>
      <c r="R35" s="99" t="s">
        <v>523</v>
      </c>
      <c r="S35" s="106"/>
      <c r="T35" s="113"/>
      <c r="U35" s="114"/>
      <c r="V35" s="101"/>
    </row>
    <row r="36" spans="1:22" ht="50.25" customHeight="1" x14ac:dyDescent="0.3">
      <c r="A36" s="90">
        <v>30</v>
      </c>
      <c r="B36" s="90">
        <v>3013408</v>
      </c>
      <c r="C36" s="90" t="s">
        <v>74</v>
      </c>
      <c r="D36" s="107" t="s">
        <v>108</v>
      </c>
      <c r="E36" s="107" t="s">
        <v>338</v>
      </c>
      <c r="F36" s="107" t="s">
        <v>107</v>
      </c>
      <c r="G36" s="90"/>
      <c r="H36" s="94">
        <v>1</v>
      </c>
      <c r="I36" s="112"/>
      <c r="J36" s="90"/>
      <c r="K36" s="96"/>
      <c r="L36" s="106"/>
      <c r="M36" s="91"/>
      <c r="N36" s="115"/>
      <c r="O36" s="116"/>
      <c r="P36" s="90"/>
      <c r="Q36" s="117"/>
      <c r="R36" s="99" t="s">
        <v>524</v>
      </c>
      <c r="S36" s="106"/>
      <c r="T36" s="118"/>
      <c r="U36" s="114"/>
      <c r="V36" s="90"/>
    </row>
    <row r="37" spans="1:22" ht="50.25" customHeight="1" x14ac:dyDescent="0.25">
      <c r="A37" s="90">
        <v>31</v>
      </c>
      <c r="B37" s="90">
        <v>3013672</v>
      </c>
      <c r="C37" s="90" t="s">
        <v>74</v>
      </c>
      <c r="D37" s="107" t="s">
        <v>88</v>
      </c>
      <c r="E37" s="105" t="s">
        <v>460</v>
      </c>
      <c r="F37" s="105" t="s">
        <v>60</v>
      </c>
      <c r="G37" s="90"/>
      <c r="H37" s="118">
        <v>1</v>
      </c>
      <c r="I37" s="106"/>
      <c r="J37" s="90"/>
      <c r="K37" s="96"/>
      <c r="L37" s="106"/>
      <c r="M37" s="90"/>
      <c r="N37" s="98"/>
      <c r="O37" s="90"/>
      <c r="P37" s="90"/>
      <c r="Q37" s="96"/>
      <c r="R37" s="99" t="s">
        <v>647</v>
      </c>
      <c r="S37" s="106"/>
      <c r="T37" s="118"/>
      <c r="U37" s="114"/>
      <c r="V37" s="90"/>
    </row>
    <row r="38" spans="1:22" ht="51" customHeight="1" x14ac:dyDescent="0.25">
      <c r="A38" s="90">
        <v>32</v>
      </c>
      <c r="B38" s="90">
        <v>7523450</v>
      </c>
      <c r="C38" s="90" t="s">
        <v>74</v>
      </c>
      <c r="D38" s="107" t="s">
        <v>110</v>
      </c>
      <c r="E38" s="93" t="s">
        <v>98</v>
      </c>
      <c r="F38" s="92" t="s">
        <v>60</v>
      </c>
      <c r="G38" s="91"/>
      <c r="H38" s="94">
        <v>1</v>
      </c>
      <c r="I38" s="106"/>
      <c r="J38" s="90"/>
      <c r="K38" s="96"/>
      <c r="L38" s="97"/>
      <c r="M38" s="91"/>
      <c r="N38" s="98"/>
      <c r="O38" s="90"/>
      <c r="P38" s="90"/>
      <c r="Q38" s="96"/>
      <c r="R38" s="99" t="s">
        <v>648</v>
      </c>
      <c r="S38" s="97"/>
      <c r="T38" s="94"/>
      <c r="U38" s="100"/>
      <c r="V38" s="91"/>
    </row>
    <row r="39" spans="1:22" ht="50.25" customHeight="1" x14ac:dyDescent="0.25">
      <c r="A39" s="90">
        <v>33</v>
      </c>
      <c r="B39" s="90">
        <v>3013735</v>
      </c>
      <c r="C39" s="90" t="s">
        <v>74</v>
      </c>
      <c r="D39" s="107" t="s">
        <v>104</v>
      </c>
      <c r="E39" s="93" t="s">
        <v>39</v>
      </c>
      <c r="F39" s="105" t="s">
        <v>1</v>
      </c>
      <c r="G39" s="90"/>
      <c r="H39" s="118">
        <v>1</v>
      </c>
      <c r="I39" s="106"/>
      <c r="J39" s="90"/>
      <c r="K39" s="96"/>
      <c r="L39" s="106"/>
      <c r="M39" s="90"/>
      <c r="N39" s="98"/>
      <c r="O39" s="90"/>
      <c r="P39" s="90"/>
      <c r="Q39" s="96"/>
      <c r="R39" s="99"/>
      <c r="S39" s="106"/>
      <c r="T39" s="118"/>
      <c r="U39" s="114"/>
      <c r="V39" s="90"/>
    </row>
    <row r="40" spans="1:22" ht="52.5" customHeight="1" x14ac:dyDescent="0.25">
      <c r="A40" s="90">
        <v>34</v>
      </c>
      <c r="B40" s="90">
        <v>3013954</v>
      </c>
      <c r="C40" s="90" t="s">
        <v>74</v>
      </c>
      <c r="D40" s="115" t="s">
        <v>311</v>
      </c>
      <c r="E40" s="107" t="s">
        <v>96</v>
      </c>
      <c r="F40" s="107" t="s">
        <v>1</v>
      </c>
      <c r="G40" s="101"/>
      <c r="H40" s="94">
        <v>1</v>
      </c>
      <c r="I40" s="97"/>
      <c r="J40" s="90"/>
      <c r="K40" s="96"/>
      <c r="L40" s="95"/>
      <c r="M40" s="91"/>
      <c r="N40" s="98"/>
      <c r="O40" s="90"/>
      <c r="P40" s="90"/>
      <c r="Q40" s="96"/>
      <c r="R40" s="99" t="s">
        <v>525</v>
      </c>
      <c r="S40" s="106"/>
      <c r="T40" s="113"/>
      <c r="U40" s="114"/>
      <c r="V40" s="101"/>
    </row>
    <row r="41" spans="1:22" ht="52.5" customHeight="1" x14ac:dyDescent="0.25">
      <c r="A41" s="90">
        <v>35</v>
      </c>
      <c r="B41" s="91">
        <v>3016399</v>
      </c>
      <c r="C41" s="91" t="s">
        <v>74</v>
      </c>
      <c r="D41" s="105" t="s">
        <v>27</v>
      </c>
      <c r="E41" s="93" t="s">
        <v>20</v>
      </c>
      <c r="F41" s="93" t="s">
        <v>60</v>
      </c>
      <c r="G41" s="90"/>
      <c r="H41" s="118">
        <v>1</v>
      </c>
      <c r="I41" s="112"/>
      <c r="J41" s="90"/>
      <c r="K41" s="96"/>
      <c r="L41" s="106"/>
      <c r="M41" s="90"/>
      <c r="N41" s="101"/>
      <c r="O41" s="90"/>
      <c r="P41" s="90"/>
      <c r="Q41" s="96"/>
      <c r="R41" s="99" t="s">
        <v>520</v>
      </c>
      <c r="S41" s="97"/>
      <c r="T41" s="118"/>
      <c r="U41" s="100"/>
      <c r="V41" s="90"/>
    </row>
    <row r="42" spans="1:22" ht="49.5" customHeight="1" x14ac:dyDescent="0.25">
      <c r="A42" s="90">
        <v>36</v>
      </c>
      <c r="B42" s="101">
        <v>3014210</v>
      </c>
      <c r="C42" s="101" t="s">
        <v>74</v>
      </c>
      <c r="D42" s="115" t="s">
        <v>341</v>
      </c>
      <c r="E42" s="98" t="s">
        <v>486</v>
      </c>
      <c r="F42" s="107" t="s">
        <v>495</v>
      </c>
      <c r="G42" s="90"/>
      <c r="H42" s="94">
        <v>1</v>
      </c>
      <c r="I42" s="112"/>
      <c r="J42" s="90"/>
      <c r="K42" s="96"/>
      <c r="L42" s="106"/>
      <c r="M42" s="91"/>
      <c r="N42" s="101"/>
      <c r="O42" s="90"/>
      <c r="P42" s="90"/>
      <c r="Q42" s="96"/>
      <c r="R42" s="99" t="s">
        <v>526</v>
      </c>
      <c r="S42" s="106"/>
      <c r="T42" s="118"/>
      <c r="U42" s="114"/>
      <c r="V42" s="90"/>
    </row>
    <row r="43" spans="1:22" ht="50.25" customHeight="1" x14ac:dyDescent="0.25">
      <c r="A43" s="90">
        <v>37</v>
      </c>
      <c r="B43" s="90">
        <v>3015483</v>
      </c>
      <c r="C43" s="90" t="s">
        <v>74</v>
      </c>
      <c r="D43" s="98" t="s">
        <v>55</v>
      </c>
      <c r="E43" s="107" t="s">
        <v>111</v>
      </c>
      <c r="F43" s="93" t="s">
        <v>60</v>
      </c>
      <c r="G43" s="91"/>
      <c r="H43" s="94">
        <v>1</v>
      </c>
      <c r="I43" s="97"/>
      <c r="J43" s="90"/>
      <c r="K43" s="96"/>
      <c r="L43" s="97"/>
      <c r="M43" s="91"/>
      <c r="N43" s="98"/>
      <c r="O43" s="90"/>
      <c r="P43" s="90"/>
      <c r="Q43" s="96"/>
      <c r="R43" s="99" t="s">
        <v>648</v>
      </c>
      <c r="S43" s="97"/>
      <c r="T43" s="94"/>
      <c r="U43" s="100"/>
      <c r="V43" s="91"/>
    </row>
    <row r="44" spans="1:22" ht="50.25" customHeight="1" x14ac:dyDescent="0.25">
      <c r="A44" s="90">
        <v>38</v>
      </c>
      <c r="B44" s="90">
        <v>3015023</v>
      </c>
      <c r="C44" s="90" t="s">
        <v>74</v>
      </c>
      <c r="D44" s="98" t="s">
        <v>501</v>
      </c>
      <c r="E44" s="93" t="s">
        <v>115</v>
      </c>
      <c r="F44" s="93" t="s">
        <v>60</v>
      </c>
      <c r="G44" s="91"/>
      <c r="H44" s="118">
        <v>1</v>
      </c>
      <c r="I44" s="95"/>
      <c r="J44" s="90"/>
      <c r="K44" s="96"/>
      <c r="L44" s="106"/>
      <c r="M44" s="91"/>
      <c r="N44" s="98"/>
      <c r="O44" s="90"/>
      <c r="P44" s="90"/>
      <c r="Q44" s="96"/>
      <c r="R44" s="99" t="s">
        <v>594</v>
      </c>
      <c r="S44" s="97"/>
      <c r="T44" s="118"/>
      <c r="U44" s="100"/>
      <c r="V44" s="90"/>
    </row>
    <row r="45" spans="1:22" ht="52.5" customHeight="1" x14ac:dyDescent="0.25">
      <c r="A45" s="90">
        <v>39</v>
      </c>
      <c r="B45" s="91">
        <v>3013488</v>
      </c>
      <c r="C45" s="91" t="s">
        <v>141</v>
      </c>
      <c r="D45" s="105" t="s">
        <v>106</v>
      </c>
      <c r="E45" s="93" t="s">
        <v>235</v>
      </c>
      <c r="F45" s="93" t="s">
        <v>60</v>
      </c>
      <c r="G45" s="90"/>
      <c r="H45" s="94">
        <v>1</v>
      </c>
      <c r="I45" s="106"/>
      <c r="J45" s="90"/>
      <c r="K45" s="96"/>
      <c r="L45" s="106"/>
      <c r="M45" s="91"/>
      <c r="N45" s="98"/>
      <c r="O45" s="90"/>
      <c r="P45" s="90"/>
      <c r="Q45" s="96"/>
      <c r="R45" s="99" t="s">
        <v>527</v>
      </c>
      <c r="S45" s="97"/>
      <c r="T45" s="94"/>
      <c r="U45" s="100"/>
      <c r="V45" s="119"/>
    </row>
    <row r="46" spans="1:22" ht="50.25" customHeight="1" x14ac:dyDescent="0.25">
      <c r="A46" s="90">
        <v>40</v>
      </c>
      <c r="B46" s="91">
        <v>3012481</v>
      </c>
      <c r="C46" s="91" t="s">
        <v>141</v>
      </c>
      <c r="D46" s="92" t="s">
        <v>140</v>
      </c>
      <c r="E46" s="98" t="s">
        <v>101</v>
      </c>
      <c r="F46" s="105" t="s">
        <v>60</v>
      </c>
      <c r="G46" s="90"/>
      <c r="H46" s="118">
        <v>1</v>
      </c>
      <c r="I46" s="106"/>
      <c r="J46" s="90"/>
      <c r="K46" s="96"/>
      <c r="L46" s="106"/>
      <c r="M46" s="90"/>
      <c r="N46" s="98"/>
      <c r="O46" s="90"/>
      <c r="P46" s="90"/>
      <c r="Q46" s="96"/>
      <c r="R46" s="99" t="s">
        <v>649</v>
      </c>
      <c r="S46" s="106"/>
      <c r="T46" s="94"/>
      <c r="U46" s="114"/>
      <c r="V46" s="119"/>
    </row>
    <row r="47" spans="1:22" ht="51.75" customHeight="1" x14ac:dyDescent="0.25">
      <c r="A47" s="90">
        <v>41</v>
      </c>
      <c r="B47" s="90">
        <v>3014087</v>
      </c>
      <c r="C47" s="90" t="s">
        <v>74</v>
      </c>
      <c r="D47" s="98" t="s">
        <v>127</v>
      </c>
      <c r="E47" s="105" t="s">
        <v>49</v>
      </c>
      <c r="F47" s="105" t="s">
        <v>1</v>
      </c>
      <c r="G47" s="90"/>
      <c r="H47" s="94">
        <v>1</v>
      </c>
      <c r="I47" s="106"/>
      <c r="J47" s="90"/>
      <c r="K47" s="96"/>
      <c r="L47" s="106"/>
      <c r="M47" s="91"/>
      <c r="N47" s="120"/>
      <c r="O47" s="90"/>
      <c r="P47" s="90"/>
      <c r="Q47" s="96"/>
      <c r="R47" s="99" t="s">
        <v>528</v>
      </c>
      <c r="S47" s="106"/>
      <c r="T47" s="121"/>
      <c r="U47" s="114"/>
      <c r="V47" s="119"/>
    </row>
    <row r="48" spans="1:22" ht="50.25" customHeight="1" x14ac:dyDescent="0.25">
      <c r="A48" s="90">
        <v>42</v>
      </c>
      <c r="B48" s="90">
        <v>3014974</v>
      </c>
      <c r="C48" s="90" t="s">
        <v>74</v>
      </c>
      <c r="D48" s="98" t="s">
        <v>31</v>
      </c>
      <c r="E48" s="102" t="s">
        <v>35</v>
      </c>
      <c r="F48" s="92" t="s">
        <v>1</v>
      </c>
      <c r="G48" s="91"/>
      <c r="H48" s="94">
        <v>1</v>
      </c>
      <c r="I48" s="103"/>
      <c r="J48" s="90"/>
      <c r="K48" s="96"/>
      <c r="L48" s="106"/>
      <c r="M48" s="90"/>
      <c r="N48" s="107"/>
      <c r="O48" s="90"/>
      <c r="P48" s="90"/>
      <c r="Q48" s="96"/>
      <c r="R48" s="168" t="s">
        <v>644</v>
      </c>
      <c r="S48" s="97"/>
      <c r="T48" s="118"/>
      <c r="U48" s="100"/>
      <c r="V48" s="90"/>
    </row>
    <row r="49" spans="1:22" ht="50.25" customHeight="1" x14ac:dyDescent="0.25">
      <c r="A49" s="90">
        <v>43</v>
      </c>
      <c r="B49" s="90">
        <v>3015834</v>
      </c>
      <c r="C49" s="90" t="s">
        <v>74</v>
      </c>
      <c r="D49" s="98" t="s">
        <v>38</v>
      </c>
      <c r="E49" s="115" t="s">
        <v>91</v>
      </c>
      <c r="F49" s="93" t="s">
        <v>60</v>
      </c>
      <c r="G49" s="90"/>
      <c r="H49" s="118">
        <v>1</v>
      </c>
      <c r="I49" s="106"/>
      <c r="J49" s="90"/>
      <c r="K49" s="96"/>
      <c r="L49" s="106"/>
      <c r="M49" s="90"/>
      <c r="N49" s="98"/>
      <c r="O49" s="90"/>
      <c r="P49" s="90"/>
      <c r="Q49" s="96"/>
      <c r="R49" s="99" t="s">
        <v>646</v>
      </c>
      <c r="S49" s="97"/>
      <c r="T49" s="121"/>
      <c r="U49" s="100"/>
      <c r="V49" s="119"/>
    </row>
    <row r="50" spans="1:22" ht="51.75" customHeight="1" x14ac:dyDescent="0.25">
      <c r="A50" s="90">
        <v>44</v>
      </c>
      <c r="B50" s="90">
        <v>3015874</v>
      </c>
      <c r="C50" s="90" t="s">
        <v>74</v>
      </c>
      <c r="D50" s="98" t="s">
        <v>36</v>
      </c>
      <c r="E50" s="105" t="s">
        <v>153</v>
      </c>
      <c r="F50" s="105" t="s">
        <v>1</v>
      </c>
      <c r="G50" s="90"/>
      <c r="H50" s="94">
        <v>1</v>
      </c>
      <c r="I50" s="106"/>
      <c r="J50" s="90"/>
      <c r="K50" s="96"/>
      <c r="L50" s="106"/>
      <c r="M50" s="91"/>
      <c r="N50" s="101"/>
      <c r="O50" s="90"/>
      <c r="P50" s="90"/>
      <c r="Q50" s="96"/>
      <c r="R50" s="99" t="s">
        <v>529</v>
      </c>
      <c r="S50" s="106"/>
      <c r="T50" s="121"/>
      <c r="U50" s="114"/>
      <c r="V50" s="119"/>
    </row>
    <row r="51" spans="1:22" ht="50.25" customHeight="1" x14ac:dyDescent="0.25">
      <c r="A51" s="90">
        <v>45</v>
      </c>
      <c r="B51" s="90">
        <v>3015053</v>
      </c>
      <c r="C51" s="90" t="s">
        <v>74</v>
      </c>
      <c r="D51" s="98" t="s">
        <v>41</v>
      </c>
      <c r="E51" s="105" t="s">
        <v>54</v>
      </c>
      <c r="F51" s="105" t="s">
        <v>1</v>
      </c>
      <c r="G51" s="90"/>
      <c r="H51" s="118">
        <v>1</v>
      </c>
      <c r="I51" s="106"/>
      <c r="J51" s="90"/>
      <c r="K51" s="96"/>
      <c r="L51" s="106"/>
      <c r="M51" s="90"/>
      <c r="N51" s="98"/>
      <c r="O51" s="90"/>
      <c r="P51" s="90"/>
      <c r="Q51" s="96"/>
      <c r="R51" s="99"/>
      <c r="S51" s="106"/>
      <c r="T51" s="121"/>
      <c r="U51" s="114"/>
      <c r="V51" s="119"/>
    </row>
    <row r="52" spans="1:22" ht="50.25" customHeight="1" x14ac:dyDescent="0.25">
      <c r="A52" s="90">
        <v>46</v>
      </c>
      <c r="B52" s="90">
        <v>3014989</v>
      </c>
      <c r="C52" s="90" t="s">
        <v>74</v>
      </c>
      <c r="D52" s="98" t="s">
        <v>46</v>
      </c>
      <c r="E52" s="107" t="s">
        <v>468</v>
      </c>
      <c r="F52" s="107" t="s">
        <v>60</v>
      </c>
      <c r="G52" s="90"/>
      <c r="H52" s="118">
        <v>1</v>
      </c>
      <c r="I52" s="106"/>
      <c r="J52" s="90"/>
      <c r="K52" s="96"/>
      <c r="L52" s="106"/>
      <c r="M52" s="90"/>
      <c r="N52" s="98"/>
      <c r="O52" s="90"/>
      <c r="P52" s="90"/>
      <c r="Q52" s="96"/>
      <c r="R52" s="99"/>
      <c r="S52" s="106"/>
      <c r="T52" s="121"/>
      <c r="U52" s="114"/>
      <c r="V52" s="119"/>
    </row>
    <row r="53" spans="1:22" ht="50.25" customHeight="1" x14ac:dyDescent="0.25">
      <c r="A53" s="90">
        <v>47</v>
      </c>
      <c r="B53" s="90">
        <v>7532297</v>
      </c>
      <c r="C53" s="90" t="s">
        <v>25</v>
      </c>
      <c r="D53" s="107" t="s">
        <v>22</v>
      </c>
      <c r="E53" s="93" t="s">
        <v>456</v>
      </c>
      <c r="F53" s="92" t="s">
        <v>398</v>
      </c>
      <c r="G53" s="91"/>
      <c r="H53" s="118">
        <v>1</v>
      </c>
      <c r="I53" s="106"/>
      <c r="J53" s="90"/>
      <c r="K53" s="96"/>
      <c r="L53" s="106"/>
      <c r="M53" s="91"/>
      <c r="N53" s="98"/>
      <c r="O53" s="90"/>
      <c r="P53" s="90"/>
      <c r="Q53" s="96"/>
      <c r="R53" s="99" t="s">
        <v>650</v>
      </c>
      <c r="S53" s="97"/>
      <c r="T53" s="94"/>
      <c r="U53" s="100"/>
      <c r="V53" s="119"/>
    </row>
    <row r="54" spans="1:22" ht="51" customHeight="1" x14ac:dyDescent="0.25">
      <c r="A54" s="90">
        <v>48</v>
      </c>
      <c r="B54" s="90">
        <v>3017601</v>
      </c>
      <c r="C54" s="90" t="s">
        <v>25</v>
      </c>
      <c r="D54" s="98" t="s">
        <v>415</v>
      </c>
      <c r="E54" s="105" t="s">
        <v>80</v>
      </c>
      <c r="F54" s="105" t="s">
        <v>1</v>
      </c>
      <c r="G54" s="90"/>
      <c r="H54" s="118">
        <v>1</v>
      </c>
      <c r="I54" s="106"/>
      <c r="J54" s="90"/>
      <c r="K54" s="96"/>
      <c r="L54" s="106"/>
      <c r="M54" s="90"/>
      <c r="N54" s="98"/>
      <c r="O54" s="90"/>
      <c r="P54" s="90"/>
      <c r="Q54" s="96"/>
      <c r="R54" s="99"/>
      <c r="S54" s="106"/>
      <c r="T54" s="121"/>
      <c r="U54" s="114"/>
      <c r="V54" s="119"/>
    </row>
    <row r="55" spans="1:22" ht="50.25" customHeight="1" x14ac:dyDescent="0.25">
      <c r="A55" s="90">
        <v>49</v>
      </c>
      <c r="B55" s="90">
        <v>7531760</v>
      </c>
      <c r="C55" s="90" t="s">
        <v>25</v>
      </c>
      <c r="D55" s="115" t="s">
        <v>349</v>
      </c>
      <c r="E55" s="105" t="s">
        <v>360</v>
      </c>
      <c r="F55" s="98" t="s">
        <v>1</v>
      </c>
      <c r="G55" s="90"/>
      <c r="H55" s="118">
        <v>1</v>
      </c>
      <c r="I55" s="106"/>
      <c r="J55" s="90"/>
      <c r="K55" s="96"/>
      <c r="L55" s="106"/>
      <c r="M55" s="90"/>
      <c r="N55" s="98"/>
      <c r="O55" s="90"/>
      <c r="P55" s="90"/>
      <c r="Q55" s="96"/>
      <c r="R55" s="99" t="s">
        <v>584</v>
      </c>
      <c r="S55" s="95"/>
      <c r="T55" s="121"/>
      <c r="U55" s="122"/>
      <c r="V55" s="119"/>
    </row>
    <row r="56" spans="1:22" ht="50.25" customHeight="1" x14ac:dyDescent="0.25">
      <c r="A56" s="90">
        <v>50</v>
      </c>
      <c r="B56" s="90">
        <v>3016931</v>
      </c>
      <c r="C56" s="90" t="s">
        <v>25</v>
      </c>
      <c r="D56" s="115" t="s">
        <v>369</v>
      </c>
      <c r="E56" s="93" t="s">
        <v>126</v>
      </c>
      <c r="F56" s="102" t="s">
        <v>1</v>
      </c>
      <c r="G56" s="90"/>
      <c r="H56" s="118">
        <v>1</v>
      </c>
      <c r="I56" s="106"/>
      <c r="J56" s="90"/>
      <c r="K56" s="96"/>
      <c r="L56" s="106"/>
      <c r="M56" s="90"/>
      <c r="N56" s="98"/>
      <c r="O56" s="90"/>
      <c r="P56" s="90"/>
      <c r="Q56" s="96"/>
      <c r="R56" s="99" t="s">
        <v>578</v>
      </c>
      <c r="S56" s="103"/>
      <c r="T56" s="121"/>
      <c r="U56" s="104"/>
      <c r="V56" s="119"/>
    </row>
    <row r="57" spans="1:22" ht="50.25" customHeight="1" x14ac:dyDescent="0.25">
      <c r="A57" s="90">
        <v>51</v>
      </c>
      <c r="B57" s="90">
        <v>3016851</v>
      </c>
      <c r="C57" s="90" t="s">
        <v>25</v>
      </c>
      <c r="D57" s="115" t="s">
        <v>366</v>
      </c>
      <c r="E57" s="105" t="s">
        <v>335</v>
      </c>
      <c r="F57" s="105" t="s">
        <v>340</v>
      </c>
      <c r="G57" s="90"/>
      <c r="H57" s="118">
        <v>1</v>
      </c>
      <c r="I57" s="106"/>
      <c r="J57" s="90"/>
      <c r="K57" s="96"/>
      <c r="L57" s="106"/>
      <c r="M57" s="90"/>
      <c r="N57" s="98"/>
      <c r="O57" s="90"/>
      <c r="P57" s="90"/>
      <c r="Q57" s="96"/>
      <c r="R57" s="99" t="s">
        <v>579</v>
      </c>
      <c r="S57" s="106"/>
      <c r="T57" s="121"/>
      <c r="U57" s="114"/>
      <c r="V57" s="119"/>
    </row>
    <row r="58" spans="1:22" ht="52.5" customHeight="1" x14ac:dyDescent="0.25">
      <c r="A58" s="90">
        <v>52</v>
      </c>
      <c r="B58" s="90">
        <v>3016919</v>
      </c>
      <c r="C58" s="90" t="s">
        <v>25</v>
      </c>
      <c r="D58" s="115" t="s">
        <v>368</v>
      </c>
      <c r="E58" s="98" t="s">
        <v>164</v>
      </c>
      <c r="F58" s="105" t="s">
        <v>1</v>
      </c>
      <c r="G58" s="90"/>
      <c r="H58" s="94">
        <v>1</v>
      </c>
      <c r="I58" s="106"/>
      <c r="J58" s="90"/>
      <c r="K58" s="96"/>
      <c r="L58" s="106"/>
      <c r="M58" s="91"/>
      <c r="N58" s="98"/>
      <c r="O58" s="90"/>
      <c r="P58" s="90"/>
      <c r="Q58" s="96"/>
      <c r="R58" s="99" t="s">
        <v>530</v>
      </c>
      <c r="S58" s="106"/>
      <c r="T58" s="121"/>
      <c r="U58" s="114"/>
      <c r="V58" s="119"/>
    </row>
    <row r="59" spans="1:22" ht="50.25" customHeight="1" x14ac:dyDescent="0.25">
      <c r="A59" s="90">
        <v>53</v>
      </c>
      <c r="B59" s="90">
        <v>3017706</v>
      </c>
      <c r="C59" s="90" t="s">
        <v>25</v>
      </c>
      <c r="D59" s="115" t="s">
        <v>418</v>
      </c>
      <c r="E59" s="107" t="s">
        <v>370</v>
      </c>
      <c r="F59" s="98" t="s">
        <v>1</v>
      </c>
      <c r="G59" s="90"/>
      <c r="H59" s="118">
        <v>1</v>
      </c>
      <c r="I59" s="106"/>
      <c r="J59" s="90"/>
      <c r="K59" s="96"/>
      <c r="L59" s="106"/>
      <c r="M59" s="90"/>
      <c r="N59" s="98"/>
      <c r="O59" s="90"/>
      <c r="P59" s="90"/>
      <c r="Q59" s="96"/>
      <c r="R59" s="99"/>
      <c r="S59" s="95"/>
      <c r="T59" s="121"/>
      <c r="U59" s="122"/>
      <c r="V59" s="119"/>
    </row>
    <row r="60" spans="1:22" ht="50.25" customHeight="1" x14ac:dyDescent="0.25">
      <c r="A60" s="90">
        <v>54</v>
      </c>
      <c r="B60" s="90">
        <v>3017087</v>
      </c>
      <c r="C60" s="90" t="s">
        <v>25</v>
      </c>
      <c r="D60" s="115" t="s">
        <v>375</v>
      </c>
      <c r="E60" s="107" t="s">
        <v>26</v>
      </c>
      <c r="F60" s="107" t="s">
        <v>1</v>
      </c>
      <c r="G60" s="90"/>
      <c r="H60" s="118">
        <v>1</v>
      </c>
      <c r="I60" s="106"/>
      <c r="J60" s="90"/>
      <c r="K60" s="96"/>
      <c r="L60" s="106"/>
      <c r="M60" s="90"/>
      <c r="N60" s="98"/>
      <c r="O60" s="90"/>
      <c r="P60" s="90"/>
      <c r="Q60" s="96"/>
      <c r="R60" s="99" t="s">
        <v>565</v>
      </c>
      <c r="S60" s="106"/>
      <c r="T60" s="121"/>
      <c r="U60" s="114"/>
      <c r="V60" s="119"/>
    </row>
    <row r="61" spans="1:22" ht="50.25" customHeight="1" x14ac:dyDescent="0.25">
      <c r="A61" s="90">
        <v>55</v>
      </c>
      <c r="B61" s="90">
        <v>3017121</v>
      </c>
      <c r="C61" s="90" t="s">
        <v>25</v>
      </c>
      <c r="D61" s="115" t="s">
        <v>355</v>
      </c>
      <c r="E61" s="102" t="s">
        <v>21</v>
      </c>
      <c r="F61" s="102" t="s">
        <v>1</v>
      </c>
      <c r="G61" s="90"/>
      <c r="H61" s="118">
        <v>1</v>
      </c>
      <c r="I61" s="106"/>
      <c r="J61" s="90"/>
      <c r="K61" s="96"/>
      <c r="L61" s="106"/>
      <c r="M61" s="90"/>
      <c r="N61" s="98"/>
      <c r="O61" s="90"/>
      <c r="P61" s="90"/>
      <c r="Q61" s="96"/>
      <c r="R61" s="99" t="s">
        <v>566</v>
      </c>
      <c r="S61" s="103"/>
      <c r="T61" s="121"/>
      <c r="U61" s="104"/>
      <c r="V61" s="119"/>
    </row>
    <row r="62" spans="1:22" ht="50.25" customHeight="1" x14ac:dyDescent="0.25">
      <c r="A62" s="90">
        <v>56</v>
      </c>
      <c r="B62" s="90">
        <v>7534025</v>
      </c>
      <c r="C62" s="90" t="s">
        <v>25</v>
      </c>
      <c r="D62" s="115" t="s">
        <v>352</v>
      </c>
      <c r="E62" s="105" t="s">
        <v>89</v>
      </c>
      <c r="F62" s="105" t="s">
        <v>60</v>
      </c>
      <c r="G62" s="90"/>
      <c r="H62" s="118">
        <v>1</v>
      </c>
      <c r="I62" s="106"/>
      <c r="J62" s="90"/>
      <c r="K62" s="96"/>
      <c r="L62" s="106"/>
      <c r="M62" s="90"/>
      <c r="N62" s="98"/>
      <c r="O62" s="90"/>
      <c r="P62" s="90"/>
      <c r="Q62" s="96"/>
      <c r="R62" s="99"/>
      <c r="S62" s="106"/>
      <c r="T62" s="121"/>
      <c r="U62" s="114"/>
      <c r="V62" s="119"/>
    </row>
    <row r="63" spans="1:22" ht="50.25" customHeight="1" x14ac:dyDescent="0.25">
      <c r="A63" s="90">
        <v>57</v>
      </c>
      <c r="B63" s="90">
        <v>7532877</v>
      </c>
      <c r="C63" s="90" t="s">
        <v>25</v>
      </c>
      <c r="D63" s="98" t="s">
        <v>404</v>
      </c>
      <c r="E63" s="93" t="s">
        <v>68</v>
      </c>
      <c r="F63" s="93" t="s">
        <v>1</v>
      </c>
      <c r="G63" s="90"/>
      <c r="H63" s="94">
        <v>1</v>
      </c>
      <c r="I63" s="106"/>
      <c r="J63" s="90"/>
      <c r="K63" s="96"/>
      <c r="L63" s="106"/>
      <c r="M63" s="91"/>
      <c r="N63" s="98"/>
      <c r="O63" s="90"/>
      <c r="P63" s="90"/>
      <c r="Q63" s="96"/>
      <c r="R63" s="99" t="s">
        <v>532</v>
      </c>
      <c r="S63" s="97"/>
      <c r="T63" s="94"/>
      <c r="U63" s="100"/>
      <c r="V63" s="119"/>
    </row>
    <row r="64" spans="1:22" ht="50.25" customHeight="1" x14ac:dyDescent="0.25">
      <c r="A64" s="90">
        <v>58</v>
      </c>
      <c r="B64" s="90">
        <v>3015937</v>
      </c>
      <c r="C64" s="90" t="s">
        <v>25</v>
      </c>
      <c r="D64" s="98" t="s">
        <v>406</v>
      </c>
      <c r="E64" s="93" t="s">
        <v>45</v>
      </c>
      <c r="F64" s="92" t="s">
        <v>1</v>
      </c>
      <c r="G64" s="90"/>
      <c r="H64" s="118">
        <v>1</v>
      </c>
      <c r="I64" s="106"/>
      <c r="J64" s="90"/>
      <c r="K64" s="96"/>
      <c r="L64" s="106"/>
      <c r="M64" s="90"/>
      <c r="N64" s="98"/>
      <c r="O64" s="90"/>
      <c r="P64" s="90"/>
      <c r="Q64" s="96"/>
      <c r="R64" s="99"/>
      <c r="S64" s="97"/>
      <c r="T64" s="121"/>
      <c r="U64" s="100"/>
      <c r="V64" s="119"/>
    </row>
    <row r="65" spans="1:22" ht="50.25" customHeight="1" x14ac:dyDescent="0.25">
      <c r="A65" s="90">
        <v>59</v>
      </c>
      <c r="B65" s="90">
        <v>3017524</v>
      </c>
      <c r="C65" s="90" t="s">
        <v>25</v>
      </c>
      <c r="D65" s="115" t="s">
        <v>410</v>
      </c>
      <c r="E65" s="107" t="s">
        <v>42</v>
      </c>
      <c r="F65" s="107" t="s">
        <v>1</v>
      </c>
      <c r="G65" s="90"/>
      <c r="H65" s="118">
        <v>1</v>
      </c>
      <c r="I65" s="106"/>
      <c r="J65" s="90"/>
      <c r="K65" s="96"/>
      <c r="L65" s="106"/>
      <c r="M65" s="90"/>
      <c r="N65" s="98"/>
      <c r="O65" s="90"/>
      <c r="P65" s="90"/>
      <c r="Q65" s="96"/>
      <c r="R65" s="99"/>
      <c r="S65" s="106"/>
      <c r="T65" s="121"/>
      <c r="U65" s="114"/>
      <c r="V65" s="119"/>
    </row>
    <row r="66" spans="1:22" ht="50.25" customHeight="1" x14ac:dyDescent="0.25">
      <c r="A66" s="90">
        <v>60</v>
      </c>
      <c r="B66" s="90">
        <v>3017493</v>
      </c>
      <c r="C66" s="90" t="s">
        <v>25</v>
      </c>
      <c r="D66" s="115" t="s">
        <v>408</v>
      </c>
      <c r="E66" s="107" t="s">
        <v>56</v>
      </c>
      <c r="F66" s="107" t="s">
        <v>1</v>
      </c>
      <c r="G66" s="90"/>
      <c r="H66" s="118">
        <v>1</v>
      </c>
      <c r="I66" s="106"/>
      <c r="J66" s="90"/>
      <c r="K66" s="96"/>
      <c r="L66" s="106"/>
      <c r="M66" s="90"/>
      <c r="N66" s="98"/>
      <c r="O66" s="90"/>
      <c r="P66" s="90"/>
      <c r="Q66" s="96"/>
      <c r="R66" s="99"/>
      <c r="S66" s="106"/>
      <c r="T66" s="121"/>
      <c r="U66" s="114"/>
      <c r="V66" s="119"/>
    </row>
    <row r="67" spans="1:22" ht="50.25" customHeight="1" x14ac:dyDescent="0.25">
      <c r="A67" s="90">
        <v>61</v>
      </c>
      <c r="B67" s="90">
        <v>3017538</v>
      </c>
      <c r="C67" s="90" t="s">
        <v>24</v>
      </c>
      <c r="D67" s="115" t="s">
        <v>412</v>
      </c>
      <c r="E67" s="107" t="s">
        <v>413</v>
      </c>
      <c r="F67" s="107" t="s">
        <v>1</v>
      </c>
      <c r="G67" s="90"/>
      <c r="H67" s="118">
        <v>1</v>
      </c>
      <c r="I67" s="106"/>
      <c r="J67" s="90"/>
      <c r="K67" s="96"/>
      <c r="L67" s="106"/>
      <c r="M67" s="90"/>
      <c r="N67" s="98"/>
      <c r="O67" s="90"/>
      <c r="P67" s="90"/>
      <c r="Q67" s="96"/>
      <c r="R67" s="99" t="s">
        <v>585</v>
      </c>
      <c r="S67" s="106"/>
      <c r="T67" s="121"/>
      <c r="U67" s="114"/>
      <c r="V67" s="119"/>
    </row>
    <row r="68" spans="1:22" ht="50.25" customHeight="1" x14ac:dyDescent="0.25">
      <c r="A68" s="90">
        <v>62</v>
      </c>
      <c r="B68" s="90">
        <v>3017665</v>
      </c>
      <c r="C68" s="90" t="s">
        <v>25</v>
      </c>
      <c r="D68" s="115" t="s">
        <v>416</v>
      </c>
      <c r="E68" s="107" t="s">
        <v>162</v>
      </c>
      <c r="F68" s="107" t="s">
        <v>1</v>
      </c>
      <c r="G68" s="90"/>
      <c r="H68" s="94">
        <v>1</v>
      </c>
      <c r="I68" s="106"/>
      <c r="J68" s="90"/>
      <c r="K68" s="96"/>
      <c r="L68" s="106"/>
      <c r="M68" s="91"/>
      <c r="N68" s="98"/>
      <c r="O68" s="90"/>
      <c r="P68" s="90"/>
      <c r="Q68" s="96"/>
      <c r="R68" s="99" t="s">
        <v>531</v>
      </c>
      <c r="S68" s="106"/>
      <c r="T68" s="121"/>
      <c r="U68" s="114"/>
      <c r="V68" s="119"/>
    </row>
    <row r="69" spans="1:22" ht="51.75" customHeight="1" x14ac:dyDescent="0.25">
      <c r="A69" s="90">
        <v>63</v>
      </c>
      <c r="B69" s="90">
        <v>7534331</v>
      </c>
      <c r="C69" s="90" t="s">
        <v>25</v>
      </c>
      <c r="D69" s="115" t="s">
        <v>364</v>
      </c>
      <c r="E69" s="107" t="s">
        <v>139</v>
      </c>
      <c r="F69" s="107" t="s">
        <v>1</v>
      </c>
      <c r="G69" s="90"/>
      <c r="H69" s="94">
        <v>1</v>
      </c>
      <c r="I69" s="106"/>
      <c r="J69" s="90"/>
      <c r="K69" s="96"/>
      <c r="L69" s="106"/>
      <c r="M69" s="91"/>
      <c r="N69" s="98"/>
      <c r="O69" s="90"/>
      <c r="P69" s="90"/>
      <c r="Q69" s="96"/>
      <c r="R69" s="99" t="s">
        <v>525</v>
      </c>
      <c r="S69" s="106"/>
      <c r="T69" s="121"/>
      <c r="U69" s="114"/>
      <c r="V69" s="119"/>
    </row>
    <row r="70" spans="1:22" ht="52.5" customHeight="1" x14ac:dyDescent="0.25">
      <c r="A70" s="90">
        <v>64</v>
      </c>
      <c r="B70" s="90">
        <v>3017703</v>
      </c>
      <c r="C70" s="90" t="s">
        <v>25</v>
      </c>
      <c r="D70" s="115" t="s">
        <v>417</v>
      </c>
      <c r="E70" s="107" t="s">
        <v>37</v>
      </c>
      <c r="F70" s="107" t="s">
        <v>1</v>
      </c>
      <c r="G70" s="90"/>
      <c r="H70" s="118">
        <v>1</v>
      </c>
      <c r="I70" s="106"/>
      <c r="J70" s="90"/>
      <c r="K70" s="96"/>
      <c r="L70" s="106"/>
      <c r="M70" s="90"/>
      <c r="N70" s="98"/>
      <c r="O70" s="90"/>
      <c r="P70" s="90"/>
      <c r="Q70" s="96"/>
      <c r="R70" s="99" t="s">
        <v>580</v>
      </c>
      <c r="S70" s="106"/>
      <c r="T70" s="121"/>
      <c r="U70" s="114"/>
      <c r="V70" s="119"/>
    </row>
    <row r="71" spans="1:22" ht="51" customHeight="1" x14ac:dyDescent="0.25">
      <c r="A71" s="90">
        <v>65</v>
      </c>
      <c r="B71" s="90">
        <v>7539373</v>
      </c>
      <c r="C71" s="90" t="s">
        <v>25</v>
      </c>
      <c r="D71" s="115" t="s">
        <v>316</v>
      </c>
      <c r="E71" s="107" t="s">
        <v>142</v>
      </c>
      <c r="F71" s="107" t="s">
        <v>60</v>
      </c>
      <c r="G71" s="90"/>
      <c r="H71" s="118">
        <v>1</v>
      </c>
      <c r="I71" s="106"/>
      <c r="J71" s="90"/>
      <c r="K71" s="96"/>
      <c r="L71" s="106"/>
      <c r="M71" s="90"/>
      <c r="N71" s="98"/>
      <c r="O71" s="90"/>
      <c r="P71" s="90"/>
      <c r="Q71" s="96"/>
      <c r="R71" s="99" t="s">
        <v>581</v>
      </c>
      <c r="S71" s="106"/>
      <c r="T71" s="121"/>
      <c r="U71" s="114"/>
      <c r="V71" s="119"/>
    </row>
    <row r="72" spans="1:22" ht="48.75" customHeight="1" x14ac:dyDescent="0.25">
      <c r="A72" s="90">
        <v>66</v>
      </c>
      <c r="B72" s="90">
        <v>7538224</v>
      </c>
      <c r="C72" s="90" t="s">
        <v>25</v>
      </c>
      <c r="D72" s="115" t="s">
        <v>381</v>
      </c>
      <c r="E72" s="107" t="s">
        <v>20</v>
      </c>
      <c r="F72" s="107" t="s">
        <v>1</v>
      </c>
      <c r="G72" s="90"/>
      <c r="H72" s="118">
        <v>1</v>
      </c>
      <c r="I72" s="106"/>
      <c r="J72" s="90"/>
      <c r="K72" s="96"/>
      <c r="L72" s="106"/>
      <c r="M72" s="90"/>
      <c r="N72" s="98"/>
      <c r="O72" s="90"/>
      <c r="P72" s="90"/>
      <c r="Q72" s="96"/>
      <c r="R72" s="99" t="s">
        <v>280</v>
      </c>
      <c r="S72" s="106"/>
      <c r="T72" s="121"/>
      <c r="U72" s="114"/>
      <c r="V72" s="119"/>
    </row>
    <row r="73" spans="1:22" ht="50.25" customHeight="1" thickBot="1" x14ac:dyDescent="0.3">
      <c r="A73" s="90">
        <v>67</v>
      </c>
      <c r="B73" s="90">
        <v>3017973</v>
      </c>
      <c r="C73" s="90" t="s">
        <v>3</v>
      </c>
      <c r="D73" s="115" t="s">
        <v>506</v>
      </c>
      <c r="E73" s="107" t="s">
        <v>117</v>
      </c>
      <c r="F73" s="107" t="s">
        <v>1</v>
      </c>
      <c r="G73" s="90"/>
      <c r="H73" s="94">
        <v>1</v>
      </c>
      <c r="I73" s="106"/>
      <c r="J73" s="90"/>
      <c r="K73" s="96"/>
      <c r="L73" s="106"/>
      <c r="M73" s="91"/>
      <c r="N73" s="98"/>
      <c r="O73" s="90"/>
      <c r="P73" s="90"/>
      <c r="Q73" s="96"/>
      <c r="R73" s="99" t="s">
        <v>533</v>
      </c>
      <c r="S73" s="106"/>
      <c r="T73" s="121"/>
      <c r="U73" s="114"/>
      <c r="V73" s="119"/>
    </row>
    <row r="74" spans="1:22" ht="24.6" thickTop="1" thickBot="1" x14ac:dyDescent="0.3">
      <c r="A74" s="198" t="s">
        <v>286</v>
      </c>
      <c r="B74" s="198"/>
      <c r="C74" s="198"/>
      <c r="D74" s="198"/>
      <c r="E74" s="198"/>
      <c r="F74" s="198"/>
      <c r="G74" s="125">
        <f t="shared" ref="G74:M74" si="0">SUM(G7:G73)</f>
        <v>0</v>
      </c>
      <c r="H74" s="37">
        <f t="shared" si="0"/>
        <v>67</v>
      </c>
      <c r="I74" s="38">
        <f t="shared" si="0"/>
        <v>0</v>
      </c>
      <c r="J74" s="38">
        <f t="shared" si="0"/>
        <v>0</v>
      </c>
      <c r="K74" s="38">
        <f t="shared" si="0"/>
        <v>0</v>
      </c>
      <c r="L74" s="88">
        <f t="shared" si="0"/>
        <v>0</v>
      </c>
      <c r="M74" s="4">
        <f t="shared" si="0"/>
        <v>0</v>
      </c>
      <c r="N74" s="6"/>
      <c r="O74" s="4">
        <f>SUM(O7:O73)</f>
        <v>0</v>
      </c>
      <c r="P74" s="4">
        <f>SUM(P7:P73)</f>
        <v>0</v>
      </c>
      <c r="Q74" s="39">
        <f>SUM(Q7:Q73)</f>
        <v>0</v>
      </c>
      <c r="R74" s="49"/>
      <c r="S74" s="5">
        <f>SUM(S7:S73)</f>
        <v>0</v>
      </c>
      <c r="T74" s="37">
        <f>SUM(T7:T73)</f>
        <v>0</v>
      </c>
      <c r="U74" s="5">
        <f>SUM(U7:U73)</f>
        <v>0</v>
      </c>
      <c r="V74" s="4">
        <f>SUM(V7:V73)</f>
        <v>0</v>
      </c>
    </row>
    <row r="75" spans="1:22" ht="24.6" thickTop="1" thickBot="1" x14ac:dyDescent="0.3">
      <c r="A75" s="198" t="s">
        <v>426</v>
      </c>
      <c r="B75" s="198"/>
      <c r="C75" s="198"/>
      <c r="D75" s="198"/>
      <c r="E75" s="198"/>
      <c r="F75" s="198"/>
      <c r="G75" s="198">
        <f>+G74+H74</f>
        <v>67</v>
      </c>
      <c r="H75" s="218"/>
      <c r="I75" s="199">
        <f>+I74+J74+K74</f>
        <v>0</v>
      </c>
      <c r="J75" s="200"/>
      <c r="K75" s="201"/>
      <c r="L75" s="219">
        <f>+L74+M74</f>
        <v>0</v>
      </c>
      <c r="M75" s="220"/>
      <c r="N75" s="6"/>
      <c r="O75" s="202">
        <f>+O74+P74+Q74</f>
        <v>0</v>
      </c>
      <c r="P75" s="203"/>
      <c r="Q75" s="203"/>
      <c r="R75" s="50"/>
      <c r="S75" s="221">
        <f>+S74+T74</f>
        <v>0</v>
      </c>
      <c r="T75" s="222"/>
      <c r="U75" s="216">
        <f>+U74+V74</f>
        <v>0</v>
      </c>
      <c r="V75" s="217"/>
    </row>
    <row r="76" spans="1:22" ht="13.8" thickTop="1" x14ac:dyDescent="0.25"/>
  </sheetData>
  <mergeCells count="27">
    <mergeCell ref="A2:V2"/>
    <mergeCell ref="A3:A5"/>
    <mergeCell ref="B3:B5"/>
    <mergeCell ref="C3:C5"/>
    <mergeCell ref="D3:D5"/>
    <mergeCell ref="E3:E5"/>
    <mergeCell ref="F3:F5"/>
    <mergeCell ref="G3:H4"/>
    <mergeCell ref="I3:K4"/>
    <mergeCell ref="L3:M4"/>
    <mergeCell ref="N3:N5"/>
    <mergeCell ref="O3:Q4"/>
    <mergeCell ref="R3:R5"/>
    <mergeCell ref="S3:V3"/>
    <mergeCell ref="S4:T4"/>
    <mergeCell ref="U4:V4"/>
    <mergeCell ref="U75:V75"/>
    <mergeCell ref="I6:K6"/>
    <mergeCell ref="O6:Q6"/>
    <mergeCell ref="S6:V6"/>
    <mergeCell ref="A74:F74"/>
    <mergeCell ref="A75:F75"/>
    <mergeCell ref="G75:H75"/>
    <mergeCell ref="I75:K75"/>
    <mergeCell ref="L75:M75"/>
    <mergeCell ref="O75:Q75"/>
    <mergeCell ref="S75:T75"/>
  </mergeCells>
  <conditionalFormatting sqref="B1:B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Keseluruhan</vt:lpstr>
      <vt:lpstr>Hadir (2)</vt:lpstr>
      <vt:lpstr>List Kehadiran</vt:lpstr>
      <vt:lpstr>Hadir</vt:lpstr>
      <vt:lpstr>Tidak Hadir</vt:lpstr>
      <vt:lpstr>Keseluruhan!Print_Area</vt:lpstr>
      <vt:lpstr>Keseluruhan!Print_Titles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Azri b Mahdi</dc:creator>
  <cp:lastModifiedBy>Muhammad Salman Bin Mohd Saiful Surash</cp:lastModifiedBy>
  <cp:lastPrinted>2026-04-22T12:13:43Z</cp:lastPrinted>
  <dcterms:created xsi:type="dcterms:W3CDTF">2022-08-29T08:08:31Z</dcterms:created>
  <dcterms:modified xsi:type="dcterms:W3CDTF">2026-04-27T02:02:34Z</dcterms:modified>
</cp:coreProperties>
</file>